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440" windowHeight="10350" tabRatio="732" activeTab="1"/>
  </bookViews>
  <sheets>
    <sheet name="封面" sheetId="5" r:id="rId1"/>
    <sheet name="项目进度计划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1" hidden="1">项目进度计划!$A$3:$P$62</definedName>
    <definedName name="bug">[1]items!$D$6:$D$7</definedName>
    <definedName name="ed">[2]Items!$C$2:$C$21</definedName>
    <definedName name="Name">[3]Items!$C$2:$C$21</definedName>
    <definedName name="P_ALL">#REF!</definedName>
    <definedName name="P_LOG">#REF!</definedName>
    <definedName name="_xlnm.Print_Area" localSheetId="0">封面!$A$1:$AC$52</definedName>
    <definedName name="_xlnm.Print_Area" localSheetId="1">项目进度计划!$A$1:$Q$62</definedName>
    <definedName name="R_LOG">#REF!</definedName>
    <definedName name="Result">[3]Items!$A$2:$A$5</definedName>
    <definedName name="ｓｓ">[4]Items!$E$2:$E$14</definedName>
    <definedName name="StaffName">[5]定义!$D$4:$D$73</definedName>
    <definedName name="z">[6]Items!$C$2:$C$22</definedName>
    <definedName name="あ">[7]Items!$C$2:$C$21</definedName>
    <definedName name="確認結果">[8]入力規則!$B$3:$B$7</definedName>
    <definedName name="因子">[8]FitTest入力シート!$D$8:$D$27</definedName>
    <definedName name="因子x番号">[8]FitTest入力シート!$D$8:$E$27</definedName>
  </definedNames>
  <calcPr calcId="124519" concurrentCalc="0"/>
</workbook>
</file>

<file path=xl/calcChain.xml><?xml version="1.0" encoding="utf-8"?>
<calcChain xmlns="http://schemas.openxmlformats.org/spreadsheetml/2006/main">
  <c r="K5" i="4"/>
  <c r="K4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3"/>
  <c r="K32"/>
  <c r="K31"/>
  <c r="K30"/>
  <c r="K29"/>
  <c r="K28"/>
  <c r="K27"/>
  <c r="K26"/>
  <c r="K25"/>
  <c r="K24"/>
  <c r="K22"/>
  <c r="K21"/>
  <c r="K20"/>
  <c r="K17"/>
  <c r="K16"/>
  <c r="K15"/>
  <c r="K14"/>
  <c r="K13"/>
  <c r="K12"/>
  <c r="K11"/>
  <c r="K10"/>
  <c r="K9"/>
  <c r="K8"/>
  <c r="K6"/>
</calcChain>
</file>

<file path=xl/sharedStrings.xml><?xml version="1.0" encoding="utf-8"?>
<sst xmlns="http://schemas.openxmlformats.org/spreadsheetml/2006/main" count="224" uniqueCount="108">
  <si>
    <t>序号</t>
  </si>
  <si>
    <t>阶段</t>
  </si>
  <si>
    <t>模块分类</t>
  </si>
  <si>
    <t>功能名称</t>
  </si>
  <si>
    <t>优先级</t>
  </si>
  <si>
    <t>计划完成时间</t>
  </si>
  <si>
    <t>实际开始时间</t>
  </si>
  <si>
    <t>实际完成时间</t>
  </si>
  <si>
    <t>进度状态</t>
  </si>
  <si>
    <t>设计备注</t>
  </si>
  <si>
    <t>计划开始时间</t>
  </si>
  <si>
    <t>预计工时(人天)</t>
  </si>
  <si>
    <t>实际工时(人天)</t>
  </si>
  <si>
    <t>开发备注</t>
  </si>
  <si>
    <t>高</t>
  </si>
  <si>
    <t>邻里圈首页</t>
  </si>
  <si>
    <t>首页信息展现</t>
  </si>
  <si>
    <t>发言详情</t>
  </si>
  <si>
    <t>转发列表</t>
  </si>
  <si>
    <t>评论列表</t>
  </si>
  <si>
    <t>点赞列表</t>
  </si>
  <si>
    <t>点赞</t>
  </si>
  <si>
    <t>子评论</t>
  </si>
  <si>
    <t>子评论列表</t>
  </si>
  <si>
    <t>回复评论</t>
  </si>
  <si>
    <t>个人发言首页</t>
  </si>
  <si>
    <t>个人发言首页信息展现</t>
  </si>
  <si>
    <t>关注/取消关注</t>
  </si>
  <si>
    <t>话题结果</t>
  </si>
  <si>
    <t>话题列表</t>
  </si>
  <si>
    <t>转发</t>
  </si>
  <si>
    <t>话题搜索</t>
  </si>
  <si>
    <t>保存话题</t>
  </si>
  <si>
    <t>@用户</t>
  </si>
  <si>
    <t>保存转发</t>
  </si>
  <si>
    <t>评论</t>
  </si>
  <si>
    <t>评论话题</t>
  </si>
  <si>
    <t>热门话题列表</t>
  </si>
  <si>
    <t>好友列表</t>
  </si>
  <si>
    <t>消息</t>
  </si>
  <si>
    <t>@我的</t>
  </si>
  <si>
    <t>屏蔽Ta的发言</t>
  </si>
  <si>
    <t>评论我的</t>
  </si>
  <si>
    <t>我的评论</t>
  </si>
  <si>
    <t>删除我的评论</t>
  </si>
  <si>
    <t>赞过我的</t>
  </si>
  <si>
    <t>订单消息</t>
  </si>
  <si>
    <t>管理员消息</t>
  </si>
  <si>
    <t>发言</t>
  </si>
  <si>
    <t>发送发言</t>
  </si>
  <si>
    <t>我家</t>
  </si>
  <si>
    <t>我的发言列表</t>
  </si>
  <si>
    <t>删除我的发言</t>
  </si>
  <si>
    <t>删除我的转发</t>
  </si>
  <si>
    <t>我的关注</t>
  </si>
  <si>
    <t>我的粉丝</t>
  </si>
  <si>
    <t>我的赞</t>
  </si>
  <si>
    <t>插入表情</t>
  </si>
  <si>
    <t>选择图片</t>
  </si>
  <si>
    <t>选择联系人</t>
  </si>
  <si>
    <t>选择话题</t>
  </si>
  <si>
    <t>选择话题筛选结果</t>
  </si>
  <si>
    <t>话题管理</t>
  </si>
  <si>
    <t>列表查询</t>
  </si>
  <si>
    <t>编辑话题（新增、编辑）</t>
  </si>
  <si>
    <t>删除话题；推荐/取消推荐；排序</t>
  </si>
  <si>
    <t>发言管理</t>
  </si>
  <si>
    <t>查询、我来发言</t>
  </si>
  <si>
    <t>删除评论、转发、发言、置顶、取消置顶</t>
  </si>
  <si>
    <t>发言详情（评论/转发/点赞）</t>
  </si>
  <si>
    <t>即时通讯-订单消息</t>
  </si>
  <si>
    <t>商品配送消息（仅商品购买模式）</t>
  </si>
  <si>
    <t>商家取消订单消息（商品、课程、服务、场地）</t>
  </si>
  <si>
    <t>团购券临时期、已消费、已退款消息（团购）</t>
  </si>
  <si>
    <t>即时通讯-管理员发布的消息</t>
  </si>
  <si>
    <t>公告通知</t>
  </si>
  <si>
    <t>发布消息</t>
  </si>
  <si>
    <t>邻里圈互动消息</t>
  </si>
  <si>
    <t>@我的消息</t>
  </si>
  <si>
    <t>评论消息</t>
  </si>
  <si>
    <t>关注消息</t>
  </si>
  <si>
    <t>验收测试</t>
  </si>
  <si>
    <t>用户验收测试</t>
  </si>
  <si>
    <t>试运行</t>
  </si>
  <si>
    <t>系统试运行</t>
  </si>
  <si>
    <t>项目测试进度计划</t>
    <phoneticPr fontId="41" type="noConversion"/>
  </si>
  <si>
    <r>
      <t>CMMI3</t>
    </r>
    <r>
      <rPr>
        <b/>
        <sz val="26"/>
        <color indexed="62"/>
        <rFont val="宋体"/>
        <family val="3"/>
        <charset val="134"/>
      </rPr>
      <t>标准文件</t>
    </r>
  </si>
  <si>
    <r>
      <t>文件编号</t>
    </r>
    <r>
      <rPr>
        <sz val="12"/>
        <color indexed="8"/>
        <rFont val="宋体"/>
        <family val="3"/>
        <charset val="134"/>
      </rPr>
      <t>：</t>
    </r>
    <r>
      <rPr>
        <sz val="12"/>
        <color indexed="8"/>
        <rFont val="Times New Roman"/>
        <family val="1"/>
      </rPr>
      <t>863-S-Tem-01</t>
    </r>
  </si>
  <si>
    <t>2014年12月11日发布                         2015年1月1日实施</t>
  </si>
  <si>
    <t>河南省863软件孵化器有限公司</t>
  </si>
  <si>
    <r>
      <t>编写日期：</t>
    </r>
    <r>
      <rPr>
        <sz val="12"/>
        <color indexed="8"/>
        <rFont val="华文中宋"/>
        <family val="3"/>
        <charset val="134"/>
      </rPr>
      <t xml:space="preserve">2014/9/29     </t>
    </r>
  </si>
  <si>
    <r>
      <t>审核日期：</t>
    </r>
    <r>
      <rPr>
        <sz val="12"/>
        <color indexed="8"/>
        <rFont val="华文中宋"/>
        <family val="3"/>
        <charset val="134"/>
      </rPr>
      <t xml:space="preserve">2014/12/09     </t>
    </r>
  </si>
  <si>
    <t>批准日期：2014/12/10</t>
  </si>
  <si>
    <t>Hachi邻里圈</t>
    <phoneticPr fontId="41" type="noConversion"/>
  </si>
  <si>
    <t>测试进度管理表</t>
    <phoneticPr fontId="41" type="noConversion"/>
  </si>
  <si>
    <t>测试阶段</t>
    <phoneticPr fontId="41" type="noConversion"/>
  </si>
  <si>
    <t>测试人员</t>
    <phoneticPr fontId="41" type="noConversion"/>
  </si>
  <si>
    <t>熟悉需求</t>
    <phoneticPr fontId="41" type="noConversion"/>
  </si>
  <si>
    <t>制定测试进度管理表</t>
    <phoneticPr fontId="41" type="noConversion"/>
  </si>
  <si>
    <t>霍红</t>
    <phoneticPr fontId="41" type="noConversion"/>
  </si>
  <si>
    <t>赵玲</t>
    <phoneticPr fontId="41" type="noConversion"/>
  </si>
  <si>
    <t>编写测试用例-APP</t>
    <phoneticPr fontId="41" type="noConversion"/>
  </si>
  <si>
    <t>系统测试</t>
    <phoneticPr fontId="41" type="noConversion"/>
  </si>
  <si>
    <t>执行测试、记录缺陷</t>
    <phoneticPr fontId="41" type="noConversion"/>
  </si>
  <si>
    <t>缺陷修复、回归测试</t>
    <phoneticPr fontId="41" type="noConversion"/>
  </si>
  <si>
    <t>编写测试用例-
后台</t>
    <phoneticPr fontId="41" type="noConversion"/>
  </si>
  <si>
    <t>制定测试计划</t>
    <phoneticPr fontId="41" type="noConversion"/>
  </si>
  <si>
    <t>霍红、赵玲</t>
    <phoneticPr fontId="41" type="noConversion"/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</si>
</sst>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176" formatCode="0_);[Red]\(0\)"/>
    <numFmt numFmtId="177" formatCode="#,##0;\-#,##0;&quot;-&quot;"/>
    <numFmt numFmtId="178" formatCode="&quot;$&quot;#,##0.0_);\(&quot;$&quot;#,##0.0\)"/>
  </numFmts>
  <fonts count="63">
    <font>
      <sz val="12"/>
      <name val="宋体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6"/>
      <color indexed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  <font>
      <sz val="11"/>
      <color rgb="FFFF0000"/>
      <name val="宋体"/>
      <family val="3"/>
      <charset val="134"/>
    </font>
    <font>
      <strike/>
      <sz val="11"/>
      <color theme="1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8"/>
      <name val="Arial"/>
      <family val="2"/>
    </font>
    <font>
      <b/>
      <sz val="18"/>
      <color indexed="56"/>
      <name val="Cambria"/>
      <family val="1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3"/>
      <color indexed="56"/>
      <name val="Calibri"/>
      <family val="2"/>
    </font>
    <font>
      <sz val="20"/>
      <name val="HP Logo LG"/>
      <family val="1"/>
    </font>
    <font>
      <sz val="11"/>
      <color indexed="52"/>
      <name val="Calibri"/>
      <family val="2"/>
    </font>
    <font>
      <b/>
      <sz val="10"/>
      <color indexed="12"/>
      <name val="Times New Roman"/>
      <family val="1"/>
    </font>
    <font>
      <sz val="10"/>
      <color indexed="12"/>
      <name val="Arial"/>
      <family val="2"/>
    </font>
    <font>
      <b/>
      <sz val="8"/>
      <name val="Arial"/>
      <family val="2"/>
    </font>
    <font>
      <sz val="11"/>
      <color indexed="10"/>
      <name val="Calibri"/>
      <family val="2"/>
    </font>
    <font>
      <sz val="11"/>
      <name val="ＭＳ Ｐゴシック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6"/>
      <color rgb="FF244061"/>
      <name val="Times New Roman"/>
      <family val="1"/>
    </font>
    <font>
      <b/>
      <sz val="26"/>
      <color indexed="62"/>
      <name val="宋体"/>
      <family val="3"/>
      <charset val="134"/>
    </font>
    <font>
      <sz val="12"/>
      <color theme="1"/>
      <name val="华文中宋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Times New Roman"/>
      <family val="1"/>
    </font>
    <font>
      <b/>
      <sz val="50"/>
      <color theme="1"/>
      <name val="SimSun"/>
      <charset val="134"/>
    </font>
    <font>
      <b/>
      <sz val="40"/>
      <color theme="1"/>
      <name val="SimSun"/>
      <charset val="134"/>
    </font>
    <font>
      <sz val="16"/>
      <color theme="1"/>
      <name val="宋体"/>
      <family val="3"/>
      <charset val="134"/>
    </font>
    <font>
      <sz val="14"/>
      <color theme="1"/>
      <name val="华文中宋"/>
      <family val="3"/>
      <charset val="134"/>
    </font>
    <font>
      <sz val="16"/>
      <color theme="1"/>
      <name val="华文中宋"/>
      <family val="3"/>
      <charset val="134"/>
    </font>
    <font>
      <sz val="12"/>
      <color indexed="8"/>
      <name val="华文中宋"/>
      <family val="3"/>
      <charset val="134"/>
    </font>
    <font>
      <sz val="10"/>
      <color indexed="8"/>
      <name val="Arial"/>
      <family val="2"/>
    </font>
    <font>
      <sz val="11"/>
      <name val="明朝"/>
      <charset val="134"/>
    </font>
    <font>
      <u/>
      <sz val="9.35"/>
      <color theme="10"/>
      <name val="Calibri"/>
      <family val="2"/>
    </font>
    <font>
      <u/>
      <sz val="8.25"/>
      <color indexed="12"/>
      <name val="ＭＳ Ｐゴシック"/>
      <family val="2"/>
      <charset val="134"/>
    </font>
    <font>
      <sz val="11"/>
      <name val="ＭＳ Ｐゴシック"/>
      <family val="2"/>
      <charset val="134"/>
    </font>
    <font>
      <sz val="11"/>
      <color theme="1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theme="1"/>
      <name val="宋体"/>
      <family val="3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3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4">
    <xf numFmtId="0" fontId="0" fillId="0" borderId="0"/>
    <xf numFmtId="0" fontId="13" fillId="8" borderId="0" applyNumberFormat="0" applyBorder="0" applyAlignment="0" applyProtection="0"/>
    <xf numFmtId="0" fontId="40" fillId="0" borderId="0">
      <alignment vertical="center"/>
    </xf>
    <xf numFmtId="0" fontId="15" fillId="0" borderId="11" applyFill="0" applyBorder="0"/>
    <xf numFmtId="0" fontId="13" fillId="10" borderId="0" applyNumberFormat="0" applyBorder="0" applyAlignment="0" applyProtection="0"/>
    <xf numFmtId="0" fontId="16" fillId="0" borderId="0"/>
    <xf numFmtId="0" fontId="17" fillId="12" borderId="12" applyNumberFormat="0" applyAlignment="0" applyProtection="0"/>
    <xf numFmtId="0" fontId="18" fillId="0" borderId="14" applyNumberFormat="0" applyFill="0" applyAlignment="0" applyProtection="0"/>
    <xf numFmtId="0" fontId="13" fillId="11" borderId="0" applyNumberFormat="0" applyBorder="0" applyAlignment="0" applyProtection="0"/>
    <xf numFmtId="0" fontId="13" fillId="2" borderId="0" applyNumberFormat="0" applyBorder="0" applyAlignment="0" applyProtection="0"/>
    <xf numFmtId="0" fontId="15" fillId="0" borderId="13" applyFill="0" applyBorder="0">
      <alignment horizontal="left" vertical="center"/>
    </xf>
    <xf numFmtId="0" fontId="13" fillId="6" borderId="0" applyNumberFormat="0" applyBorder="0" applyAlignment="0" applyProtection="0"/>
    <xf numFmtId="0" fontId="14" fillId="14" borderId="0" applyNumberFormat="0" applyBorder="0" applyAlignment="0" applyProtection="0"/>
    <xf numFmtId="0" fontId="13" fillId="12" borderId="0" applyNumberFormat="0" applyBorder="0" applyAlignment="0" applyProtection="0"/>
    <xf numFmtId="0" fontId="9" fillId="0" borderId="0">
      <alignment vertical="center"/>
    </xf>
    <xf numFmtId="0" fontId="14" fillId="16" borderId="0" applyNumberFormat="0" applyBorder="0" applyAlignment="0" applyProtection="0"/>
    <xf numFmtId="0" fontId="14" fillId="15" borderId="0" applyNumberFormat="0" applyBorder="0" applyAlignment="0" applyProtection="0"/>
    <xf numFmtId="0" fontId="20" fillId="0" borderId="0"/>
    <xf numFmtId="0" fontId="13" fillId="17" borderId="0" applyNumberFormat="0" applyBorder="0" applyAlignment="0" applyProtection="0"/>
    <xf numFmtId="0" fontId="13" fillId="7" borderId="0" applyNumberFormat="0" applyBorder="0" applyAlignment="0" applyProtection="0"/>
    <xf numFmtId="0" fontId="13" fillId="16" borderId="0" applyNumberFormat="0" applyBorder="0" applyAlignment="0" applyProtection="0"/>
    <xf numFmtId="0" fontId="13" fillId="15" borderId="0" applyNumberFormat="0" applyBorder="0" applyAlignment="0" applyProtection="0"/>
    <xf numFmtId="0" fontId="13" fillId="8" borderId="0" applyNumberFormat="0" applyBorder="0" applyAlignment="0" applyProtection="0"/>
    <xf numFmtId="0" fontId="13" fillId="7" borderId="0" applyNumberFormat="0" applyBorder="0" applyAlignment="0" applyProtection="0"/>
    <xf numFmtId="0" fontId="14" fillId="9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14" fillId="9" borderId="0" applyNumberFormat="0" applyBorder="0" applyAlignment="0" applyProtection="0"/>
    <xf numFmtId="0" fontId="14" fillId="18" borderId="0" applyNumberFormat="0" applyBorder="0" applyAlignment="0" applyProtection="0"/>
    <xf numFmtId="0" fontId="14" fillId="23" borderId="0" applyNumberFormat="0" applyBorder="0" applyAlignment="0" applyProtection="0"/>
    <xf numFmtId="0" fontId="26" fillId="11" borderId="0" applyNumberFormat="0" applyBorder="0" applyAlignment="0" applyProtection="0"/>
    <xf numFmtId="0" fontId="28" fillId="24" borderId="12" applyNumberFormat="0" applyAlignment="0" applyProtection="0"/>
    <xf numFmtId="0" fontId="29" fillId="25" borderId="16" applyNumberFormat="0" applyAlignment="0" applyProtection="0"/>
    <xf numFmtId="0" fontId="24" fillId="0" borderId="0" applyFill="0" applyBorder="0">
      <alignment horizontal="centerContinuous" vertical="center"/>
    </xf>
    <xf numFmtId="0" fontId="9" fillId="0" borderId="0"/>
    <xf numFmtId="0" fontId="3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4" fillId="0" borderId="11" applyBorder="0">
      <alignment horizontal="center" vertical="center"/>
    </xf>
    <xf numFmtId="0" fontId="19" fillId="0" borderId="11" applyBorder="0">
      <alignment horizontal="center" vertical="center"/>
    </xf>
    <xf numFmtId="0" fontId="21" fillId="0" borderId="0" applyFill="0" applyBorder="0" applyAlignment="0">
      <alignment vertical="center"/>
    </xf>
    <xf numFmtId="0" fontId="32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33" fillId="0" borderId="11" applyBorder="0">
      <alignment horizontal="center" vertical="center"/>
    </xf>
    <xf numFmtId="0" fontId="34" fillId="0" borderId="19" applyNumberFormat="0" applyFill="0" applyAlignment="0" applyProtection="0"/>
    <xf numFmtId="0" fontId="23" fillId="22" borderId="0" applyNumberFormat="0" applyBorder="0" applyAlignment="0" applyProtection="0"/>
    <xf numFmtId="0" fontId="20" fillId="26" borderId="20" applyNumberFormat="0" applyFont="0" applyAlignment="0" applyProtection="0"/>
    <xf numFmtId="0" fontId="30" fillId="24" borderId="17" applyNumberFormat="0" applyAlignment="0" applyProtection="0"/>
    <xf numFmtId="0" fontId="35" fillId="0" borderId="21" applyNumberFormat="0" applyFill="0" applyBorder="0">
      <alignment horizontal="centerContinuous" vertical="center" wrapText="1"/>
      <protection locked="0"/>
    </xf>
    <xf numFmtId="0" fontId="15" fillId="0" borderId="13" applyFill="0" applyBorder="0">
      <alignment horizontal="center" vertical="center"/>
    </xf>
    <xf numFmtId="0" fontId="15" fillId="0" borderId="22" applyNumberFormat="0" applyFill="0" applyBorder="0" applyProtection="0">
      <alignment horizontal="centerContinuous"/>
    </xf>
    <xf numFmtId="0" fontId="36" fillId="0" borderId="21" applyFill="0" applyBorder="0" applyProtection="0">
      <alignment vertical="center"/>
      <protection locked="0"/>
    </xf>
    <xf numFmtId="0" fontId="24" fillId="0" borderId="0" applyFill="0" applyBorder="0">
      <alignment vertical="center"/>
    </xf>
    <xf numFmtId="0" fontId="37" fillId="0" borderId="23" applyFill="0" applyBorder="0" applyAlignment="0">
      <alignment horizontal="center" vertical="center"/>
    </xf>
    <xf numFmtId="0" fontId="15" fillId="0" borderId="0" applyNumberFormat="0" applyFill="0" applyBorder="0">
      <alignment vertical="center"/>
    </xf>
    <xf numFmtId="0" fontId="25" fillId="0" borderId="0" applyNumberFormat="0" applyFill="0" applyBorder="0" applyAlignment="0" applyProtection="0"/>
    <xf numFmtId="0" fontId="9" fillId="0" borderId="0">
      <alignment vertical="center"/>
    </xf>
    <xf numFmtId="0" fontId="27" fillId="0" borderId="15" applyNumberFormat="0" applyFill="0" applyAlignment="0" applyProtection="0"/>
    <xf numFmtId="0" fontId="38" fillId="0" borderId="0" applyNumberFormat="0" applyFill="0" applyBorder="0" applyAlignment="0" applyProtection="0"/>
    <xf numFmtId="0" fontId="20" fillId="0" borderId="0"/>
    <xf numFmtId="0" fontId="39" fillId="0" borderId="0"/>
    <xf numFmtId="0" fontId="9" fillId="0" borderId="0">
      <alignment vertical="center"/>
    </xf>
    <xf numFmtId="0" fontId="40" fillId="0" borderId="0">
      <alignment vertical="center"/>
    </xf>
    <xf numFmtId="0" fontId="40" fillId="0" borderId="0"/>
    <xf numFmtId="0" fontId="40" fillId="0" borderId="0"/>
    <xf numFmtId="0" fontId="16" fillId="0" borderId="0"/>
    <xf numFmtId="0" fontId="9" fillId="0" borderId="0">
      <alignment vertical="center"/>
    </xf>
    <xf numFmtId="177" fontId="53" fillId="0" borderId="0" applyFill="0" applyBorder="0" applyAlignment="0"/>
    <xf numFmtId="38" fontId="24" fillId="24" borderId="0" applyNumberFormat="0" applyBorder="0" applyAlignment="0" applyProtection="0"/>
    <xf numFmtId="0" fontId="21" fillId="0" borderId="26" applyNumberFormat="0" applyAlignment="0" applyProtection="0">
      <alignment horizontal="left" vertical="center"/>
    </xf>
    <xf numFmtId="0" fontId="21" fillId="0" borderId="27">
      <alignment horizontal="left" vertical="center"/>
    </xf>
    <xf numFmtId="10" fontId="24" fillId="26" borderId="28" applyNumberFormat="0" applyBorder="0" applyAlignment="0" applyProtection="0"/>
    <xf numFmtId="178" fontId="54" fillId="0" borderId="0"/>
    <xf numFmtId="0" fontId="20" fillId="0" borderId="0"/>
    <xf numFmtId="10" fontId="2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>
      <alignment vertical="center"/>
    </xf>
    <xf numFmtId="0" fontId="57" fillId="0" borderId="0"/>
    <xf numFmtId="0" fontId="40" fillId="0" borderId="0"/>
    <xf numFmtId="0" fontId="57" fillId="0" borderId="0"/>
    <xf numFmtId="0" fontId="40" fillId="0" borderId="0"/>
    <xf numFmtId="0" fontId="58" fillId="0" borderId="0"/>
    <xf numFmtId="0" fontId="40" fillId="0" borderId="0"/>
    <xf numFmtId="0" fontId="9" fillId="0" borderId="0">
      <alignment vertical="center"/>
    </xf>
    <xf numFmtId="0" fontId="20" fillId="0" borderId="0"/>
    <xf numFmtId="0" fontId="2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7" fillId="0" borderId="0">
      <alignment vertical="center"/>
    </xf>
    <xf numFmtId="41" fontId="40" fillId="0" borderId="0" applyFont="0" applyFill="0" applyBorder="0" applyAlignment="0" applyProtection="0"/>
  </cellStyleXfs>
  <cellXfs count="129">
    <xf numFmtId="0" fontId="0" fillId="0" borderId="0" xfId="0" applyAlignment="1">
      <alignment vertical="center"/>
    </xf>
    <xf numFmtId="0" fontId="1" fillId="0" borderId="0" xfId="67" applyFont="1" applyBorder="1" applyAlignment="1" applyProtection="1">
      <alignment horizontal="center" vertical="center" wrapText="1"/>
      <protection locked="0"/>
    </xf>
    <xf numFmtId="0" fontId="1" fillId="0" borderId="0" xfId="67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4" fillId="3" borderId="5" xfId="67" applyFont="1" applyFill="1" applyBorder="1" applyAlignment="1" applyProtection="1">
      <alignment horizontal="center" vertical="center" wrapText="1"/>
      <protection locked="0"/>
    </xf>
    <xf numFmtId="0" fontId="8" fillId="0" borderId="5" xfId="67" applyFont="1" applyFill="1" applyBorder="1" applyAlignment="1" applyProtection="1">
      <alignment vertical="center" wrapText="1"/>
      <protection locked="0"/>
    </xf>
    <xf numFmtId="0" fontId="0" fillId="0" borderId="5" xfId="0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5" fillId="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8" fillId="0" borderId="5" xfId="0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/>
    </xf>
    <xf numFmtId="0" fontId="0" fillId="0" borderId="5" xfId="0" applyFont="1" applyFill="1" applyBorder="1" applyAlignment="1">
      <alignment horizontal="left" vertical="center"/>
    </xf>
    <xf numFmtId="0" fontId="0" fillId="0" borderId="5" xfId="0" applyFont="1" applyBorder="1" applyAlignment="1">
      <alignment vertical="center"/>
    </xf>
    <xf numFmtId="0" fontId="0" fillId="0" borderId="8" xfId="0" applyFont="1" applyFill="1" applyBorder="1" applyAlignment="1">
      <alignment horizontal="left" vertical="center"/>
    </xf>
    <xf numFmtId="0" fontId="10" fillId="0" borderId="9" xfId="37" applyFont="1" applyBorder="1" applyAlignment="1">
      <alignment horizontal="left" vertical="center"/>
    </xf>
    <xf numFmtId="0" fontId="10" fillId="0" borderId="5" xfId="37" applyFont="1" applyBorder="1" applyAlignment="1">
      <alignment vertical="center"/>
    </xf>
    <xf numFmtId="0" fontId="4" fillId="4" borderId="5" xfId="67" applyFont="1" applyFill="1" applyBorder="1" applyAlignment="1" applyProtection="1">
      <alignment horizontal="left" vertical="center" wrapText="1"/>
      <protection locked="0"/>
    </xf>
    <xf numFmtId="176" fontId="4" fillId="4" borderId="5" xfId="67" applyNumberFormat="1" applyFont="1" applyFill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7" fillId="0" borderId="5" xfId="0" applyFont="1" applyFill="1" applyBorder="1" applyAlignment="1">
      <alignment horizontal="left" vertical="center" wrapText="1"/>
    </xf>
    <xf numFmtId="14" fontId="8" fillId="0" borderId="5" xfId="0" applyNumberFormat="1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7" fillId="0" borderId="5" xfId="0" applyFont="1" applyFill="1" applyBorder="1" applyAlignment="1">
      <alignment vertical="center"/>
    </xf>
    <xf numFmtId="14" fontId="9" fillId="0" borderId="5" xfId="0" applyNumberFormat="1" applyFont="1" applyBorder="1" applyAlignment="1">
      <alignment horizontal="left" vertical="center"/>
    </xf>
    <xf numFmtId="0" fontId="4" fillId="4" borderId="5" xfId="67" applyFont="1" applyFill="1" applyBorder="1" applyAlignment="1" applyProtection="1">
      <alignment horizontal="center" vertical="center" wrapText="1"/>
      <protection locked="0"/>
    </xf>
    <xf numFmtId="176" fontId="4" fillId="4" borderId="5" xfId="67" applyNumberFormat="1" applyFont="1" applyFill="1" applyBorder="1" applyAlignment="1" applyProtection="1">
      <alignment horizontal="center" vertical="center" wrapText="1"/>
      <protection locked="0"/>
    </xf>
    <xf numFmtId="9" fontId="9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5" borderId="5" xfId="67" applyFont="1" applyFill="1" applyBorder="1" applyAlignment="1" applyProtection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9" fontId="8" fillId="0" borderId="5" xfId="0" applyNumberFormat="1" applyFont="1" applyFill="1" applyBorder="1" applyAlignment="1">
      <alignment horizontal="right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67" applyFont="1" applyBorder="1" applyAlignment="1" applyProtection="1">
      <alignment vertical="center" wrapText="1"/>
      <protection locked="0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14" fontId="7" fillId="0" borderId="5" xfId="0" applyNumberFormat="1" applyFont="1" applyFill="1" applyBorder="1" applyAlignment="1">
      <alignment horizontal="left" vertical="center"/>
    </xf>
    <xf numFmtId="14" fontId="12" fillId="0" borderId="5" xfId="0" applyNumberFormat="1" applyFont="1" applyFill="1" applyBorder="1" applyAlignment="1">
      <alignment horizontal="left"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9" fillId="5" borderId="0" xfId="68" applyFill="1" applyBorder="1">
      <alignment vertical="center"/>
    </xf>
    <xf numFmtId="0" fontId="9" fillId="0" borderId="0" xfId="68" applyBorder="1">
      <alignment vertical="center"/>
    </xf>
    <xf numFmtId="0" fontId="42" fillId="5" borderId="0" xfId="68" applyFont="1" applyFill="1" applyBorder="1" applyAlignment="1">
      <alignment vertical="center"/>
    </xf>
    <xf numFmtId="0" fontId="9" fillId="0" borderId="0" xfId="68">
      <alignment vertical="center"/>
    </xf>
    <xf numFmtId="0" fontId="44" fillId="5" borderId="0" xfId="68" applyFont="1" applyFill="1" applyBorder="1">
      <alignment vertical="center"/>
    </xf>
    <xf numFmtId="0" fontId="9" fillId="5" borderId="24" xfId="68" applyFill="1" applyBorder="1">
      <alignment vertical="center"/>
    </xf>
    <xf numFmtId="0" fontId="9" fillId="5" borderId="25" xfId="68" applyFill="1" applyBorder="1">
      <alignment vertical="center"/>
    </xf>
    <xf numFmtId="0" fontId="47" fillId="5" borderId="0" xfId="68" applyFont="1" applyFill="1" applyBorder="1" applyAlignment="1">
      <alignment vertical="center"/>
    </xf>
    <xf numFmtId="0" fontId="49" fillId="5" borderId="0" xfId="68" applyFont="1" applyFill="1" applyBorder="1" applyAlignment="1">
      <alignment horizontal="center" vertical="center"/>
    </xf>
    <xf numFmtId="0" fontId="50" fillId="5" borderId="0" xfId="68" applyFont="1" applyFill="1" applyBorder="1" applyAlignment="1">
      <alignment horizontal="left" vertical="center"/>
    </xf>
    <xf numFmtId="0" fontId="51" fillId="5" borderId="25" xfId="68" applyFont="1" applyFill="1" applyBorder="1" applyAlignment="1">
      <alignment horizontal="left" vertical="center"/>
    </xf>
    <xf numFmtId="0" fontId="44" fillId="5" borderId="0" xfId="68" applyFont="1" applyFill="1" applyBorder="1" applyAlignment="1">
      <alignment horizontal="left" vertical="center"/>
    </xf>
    <xf numFmtId="14" fontId="44" fillId="5" borderId="0" xfId="68" applyNumberFormat="1" applyFont="1" applyFill="1" applyBorder="1" applyAlignment="1">
      <alignment horizontal="left" vertical="center"/>
    </xf>
    <xf numFmtId="14" fontId="62" fillId="0" borderId="5" xfId="0" applyNumberFormat="1" applyFont="1" applyFill="1" applyBorder="1" applyAlignment="1">
      <alignment horizontal="center" vertical="center"/>
    </xf>
    <xf numFmtId="0" fontId="60" fillId="0" borderId="5" xfId="0" applyFont="1" applyFill="1" applyBorder="1" applyAlignment="1">
      <alignment vertical="center"/>
    </xf>
    <xf numFmtId="0" fontId="62" fillId="0" borderId="5" xfId="0" applyFont="1" applyBorder="1" applyAlignment="1">
      <alignment horizontal="left" vertical="center" wrapText="1"/>
    </xf>
    <xf numFmtId="0" fontId="40" fillId="0" borderId="5" xfId="0" applyFont="1" applyBorder="1" applyAlignment="1">
      <alignment vertical="center"/>
    </xf>
    <xf numFmtId="0" fontId="8" fillId="5" borderId="5" xfId="67" applyFont="1" applyFill="1" applyBorder="1" applyAlignment="1" applyProtection="1">
      <alignment horizontal="left" vertical="center" wrapText="1"/>
    </xf>
    <xf numFmtId="0" fontId="8" fillId="0" borderId="5" xfId="0" applyFont="1" applyFill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9" xfId="0" applyFont="1" applyFill="1" applyBorder="1" applyAlignment="1">
      <alignment vertical="center"/>
    </xf>
    <xf numFmtId="0" fontId="0" fillId="0" borderId="0" xfId="0" applyFont="1" applyAlignment="1">
      <alignment vertical="center" wrapText="1"/>
    </xf>
    <xf numFmtId="0" fontId="8" fillId="0" borderId="5" xfId="67" applyFont="1" applyFill="1" applyBorder="1" applyAlignment="1" applyProtection="1">
      <alignment horizontal="left" vertical="center" wrapText="1"/>
      <protection locked="0"/>
    </xf>
    <xf numFmtId="0" fontId="40" fillId="0" borderId="9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47" fillId="5" borderId="0" xfId="68" applyFont="1" applyFill="1" applyBorder="1" applyAlignment="1">
      <alignment horizontal="center" vertical="center"/>
    </xf>
    <xf numFmtId="0" fontId="48" fillId="5" borderId="0" xfId="68" applyFont="1" applyFill="1" applyBorder="1" applyAlignment="1">
      <alignment horizontal="center" vertical="center"/>
    </xf>
    <xf numFmtId="0" fontId="3" fillId="0" borderId="1" xfId="67" applyFont="1" applyFill="1" applyBorder="1" applyAlignment="1" applyProtection="1">
      <alignment horizontal="center" vertical="center" wrapText="1"/>
      <protection locked="0"/>
    </xf>
    <xf numFmtId="0" fontId="3" fillId="0" borderId="2" xfId="67" applyFont="1" applyFill="1" applyBorder="1" applyAlignment="1" applyProtection="1">
      <alignment horizontal="center" vertical="center" wrapText="1"/>
      <protection locked="0"/>
    </xf>
    <xf numFmtId="0" fontId="3" fillId="0" borderId="2" xfId="67" applyFont="1" applyFill="1" applyBorder="1" applyAlignment="1" applyProtection="1">
      <alignment horizontal="left" vertical="center" wrapText="1"/>
      <protection locked="0"/>
    </xf>
    <xf numFmtId="0" fontId="3" fillId="3" borderId="7" xfId="67" applyFont="1" applyFill="1" applyBorder="1" applyAlignment="1" applyProtection="1">
      <alignment horizontal="center" vertical="center" wrapText="1"/>
      <protection locked="0"/>
    </xf>
    <xf numFmtId="0" fontId="3" fillId="3" borderId="8" xfId="67" applyFont="1" applyFill="1" applyBorder="1" applyAlignment="1" applyProtection="1">
      <alignment horizontal="center" vertical="center" wrapText="1"/>
      <protection locked="0"/>
    </xf>
    <xf numFmtId="0" fontId="3" fillId="4" borderId="6" xfId="67" applyFont="1" applyFill="1" applyBorder="1" applyAlignment="1" applyProtection="1">
      <alignment horizontal="left" vertical="center" wrapText="1"/>
      <protection locked="0"/>
    </xf>
    <xf numFmtId="0" fontId="3" fillId="4" borderId="7" xfId="67" applyFont="1" applyFill="1" applyBorder="1" applyAlignment="1" applyProtection="1">
      <alignment horizontal="left" vertical="center" wrapText="1"/>
      <protection locked="0"/>
    </xf>
    <xf numFmtId="0" fontId="3" fillId="4" borderId="7" xfId="67" applyFont="1" applyFill="1" applyBorder="1" applyAlignment="1" applyProtection="1">
      <alignment horizontal="center" vertical="center" wrapText="1"/>
      <protection locked="0"/>
    </xf>
    <xf numFmtId="0" fontId="8" fillId="0" borderId="30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4" fillId="2" borderId="4" xfId="67" applyFont="1" applyFill="1" applyBorder="1" applyAlignment="1" applyProtection="1">
      <alignment horizontal="center" vertical="center" wrapText="1"/>
      <protection locked="0"/>
    </xf>
    <xf numFmtId="0" fontId="4" fillId="2" borderId="2" xfId="67" applyFont="1" applyFill="1" applyBorder="1" applyAlignment="1" applyProtection="1">
      <alignment horizontal="center" vertical="center" wrapText="1"/>
      <protection locked="0"/>
    </xf>
    <xf numFmtId="0" fontId="4" fillId="2" borderId="5" xfId="67" applyFont="1" applyFill="1" applyBorder="1" applyAlignment="1" applyProtection="1">
      <alignment vertical="center" wrapText="1"/>
      <protection locked="0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4" fillId="2" borderId="3" xfId="67" applyFont="1" applyFill="1" applyBorder="1" applyAlignment="1" applyProtection="1">
      <alignment horizontal="center" vertical="center" wrapText="1"/>
      <protection locked="0"/>
    </xf>
    <xf numFmtId="0" fontId="4" fillId="2" borderId="1" xfId="67" applyFont="1" applyFill="1" applyBorder="1" applyAlignment="1" applyProtection="1">
      <alignment horizontal="center" vertical="center" wrapText="1"/>
      <protection locked="0"/>
    </xf>
    <xf numFmtId="0" fontId="8" fillId="0" borderId="5" xfId="0" applyFont="1" applyBorder="1" applyAlignment="1">
      <alignment vertical="center"/>
    </xf>
    <xf numFmtId="0" fontId="60" fillId="0" borderId="4" xfId="0" applyFont="1" applyFill="1" applyBorder="1" applyAlignment="1">
      <alignment horizontal="center" vertical="center"/>
    </xf>
    <xf numFmtId="0" fontId="60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1" fillId="0" borderId="4" xfId="0" applyFont="1" applyBorder="1" applyAlignment="1">
      <alignment horizontal="center" vertical="center" wrapText="1"/>
    </xf>
    <xf numFmtId="0" fontId="6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9" fontId="9" fillId="0" borderId="5" xfId="0" applyNumberFormat="1" applyFont="1" applyBorder="1" applyAlignment="1">
      <alignment vertical="center"/>
    </xf>
    <xf numFmtId="14" fontId="8" fillId="0" borderId="5" xfId="0" applyNumberFormat="1" applyFont="1" applyFill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14" fontId="8" fillId="0" borderId="5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7" fillId="0" borderId="4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</cellXfs>
  <cellStyles count="94">
    <cellStyle name="0,0_x000d_&#10;NA_x000d_&#10;" xfId="5"/>
    <cellStyle name="20% - Accent1" xfId="18"/>
    <cellStyle name="20% - Accent2" xfId="8"/>
    <cellStyle name="20% - Accent3" xfId="9"/>
    <cellStyle name="20% - Accent4" xfId="1"/>
    <cellStyle name="20% - Accent5" xfId="11"/>
    <cellStyle name="20% - Accent6" xfId="13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4"/>
    <cellStyle name="60% - Accent1" xfId="12"/>
    <cellStyle name="60% - Accent2" xfId="15"/>
    <cellStyle name="60% - Accent3" xfId="16"/>
    <cellStyle name="60% - Accent4" xfId="24"/>
    <cellStyle name="60% - Accent5" xfId="25"/>
    <cellStyle name="60% - Accent6" xfId="26"/>
    <cellStyle name="Accent1" xfId="27"/>
    <cellStyle name="Accent2" xfId="28"/>
    <cellStyle name="Accent3" xfId="29"/>
    <cellStyle name="Accent4" xfId="30"/>
    <cellStyle name="Accent5" xfId="31"/>
    <cellStyle name="Accent6" xfId="32"/>
    <cellStyle name="Bad" xfId="33"/>
    <cellStyle name="Calc Currency (0)" xfId="69"/>
    <cellStyle name="Calculation" xfId="34"/>
    <cellStyle name="Check Cell" xfId="35"/>
    <cellStyle name="Explanatory Text" xfId="38"/>
    <cellStyle name="Good" xfId="39"/>
    <cellStyle name="Grey" xfId="70"/>
    <cellStyle name="Header 1" xfId="3"/>
    <cellStyle name="Header 2" xfId="40"/>
    <cellStyle name="Header Center" xfId="41"/>
    <cellStyle name="Header1" xfId="71"/>
    <cellStyle name="Header2" xfId="72"/>
    <cellStyle name="Heading 1" xfId="42"/>
    <cellStyle name="Heading 2" xfId="43"/>
    <cellStyle name="Heading 3" xfId="7"/>
    <cellStyle name="Heading 4" xfId="44"/>
    <cellStyle name="HP Logo" xfId="45"/>
    <cellStyle name="Input" xfId="6"/>
    <cellStyle name="Input [yellow]" xfId="73"/>
    <cellStyle name="Linked Cell" xfId="46"/>
    <cellStyle name="Neutral" xfId="47"/>
    <cellStyle name="Normal - Style1" xfId="74"/>
    <cellStyle name="Normal_#18-Internet" xfId="75"/>
    <cellStyle name="Note" xfId="48"/>
    <cellStyle name="Output" xfId="49"/>
    <cellStyle name="Percent [2]" xfId="76"/>
    <cellStyle name="Table Entry" xfId="50"/>
    <cellStyle name="Table Heading" xfId="10"/>
    <cellStyle name="Table Heading Center" xfId="51"/>
    <cellStyle name="Table Medium" xfId="52"/>
    <cellStyle name="Table Normal" xfId="53"/>
    <cellStyle name="Table Small" xfId="54"/>
    <cellStyle name="Table Small Bold" xfId="55"/>
    <cellStyle name="Table Small Center" xfId="36"/>
    <cellStyle name="Table Title" xfId="56"/>
    <cellStyle name="Title" xfId="57"/>
    <cellStyle name="Total" xfId="59"/>
    <cellStyle name="Warning Text" xfId="60"/>
    <cellStyle name="パーセント 2" xfId="77"/>
    <cellStyle name="ハイパーリンク 2" xfId="78"/>
    <cellStyle name="ハイパーリンク 3" xfId="79"/>
    <cellStyle name="標準 2" xfId="61"/>
    <cellStyle name="標準 2 2" xfId="80"/>
    <cellStyle name="標準 2 2 2" xfId="81"/>
    <cellStyle name="標準 2 3" xfId="82"/>
    <cellStyle name="標準 2 4" xfId="83"/>
    <cellStyle name="標準 3" xfId="84"/>
    <cellStyle name="標準 3 2" xfId="85"/>
    <cellStyle name="標準 4" xfId="86"/>
    <cellStyle name="標準 5" xfId="87"/>
    <cellStyle name="標準_Sheet1_品質管理部2003年度作業計画(2003-01-15案)" xfId="62"/>
    <cellStyle name="常规" xfId="0" builtinId="0"/>
    <cellStyle name="常规 2" xfId="58"/>
    <cellStyle name="常规 2 2" xfId="14"/>
    <cellStyle name="常规 2 2 2" xfId="63"/>
    <cellStyle name="常规 2 3" xfId="17"/>
    <cellStyle name="常规 2 3 2" xfId="88"/>
    <cellStyle name="常规 2 3 3" xfId="89"/>
    <cellStyle name="常规 3" xfId="64"/>
    <cellStyle name="常规 3 2" xfId="68"/>
    <cellStyle name="常规 3_Unit、Supplier，Role, Predefine管理" xfId="90"/>
    <cellStyle name="常规 4" xfId="65"/>
    <cellStyle name="常规 4 2" xfId="66"/>
    <cellStyle name="常规 5" xfId="91"/>
    <cellStyle name="常规 6" xfId="2"/>
    <cellStyle name="常规 7" xfId="92"/>
    <cellStyle name="常规_任务_转成execl表格式" xfId="37"/>
    <cellStyle name="桁区切り 2" xfId="93"/>
    <cellStyle name="样式 1" xfId="67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66675</xdr:rowOff>
    </xdr:from>
    <xdr:to>
      <xdr:col>4</xdr:col>
      <xdr:colOff>171450</xdr:colOff>
      <xdr:row>4</xdr:row>
      <xdr:rowOff>85725</xdr:rowOff>
    </xdr:to>
    <xdr:pic>
      <xdr:nvPicPr>
        <xdr:cNvPr id="2" name="图片 4" descr="863LogePng中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" y="66675"/>
          <a:ext cx="120015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sv\VSS1\temp\sst65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8.163.86\mytool\Documents%20and%20Settings\user1\Local%20Settings\Temporary%20Internet%20Files\Content.Outlook\J49S5G6D\Users\shen\Desktop\QR-B11-02_J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5-&#27979;&#35797;&#29992;&#20363;/&#27827;&#21335;&#30465;&#22320;&#22336;&#29615;&#22659;&#30417;&#27979;&#31995;&#32479;-&#27979;&#35797;&#29992;&#2036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8.163.86\mytool\SO21\06-&#21697;&#36074;&#31649;&#29702;\&#20445;&#23432;\V2.0.06.03\10-FT\V2.0-BB-10_Web&#12513;&#12540;&#12523;FT&#20181;&#27096;&#2636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39580;/Documents/WeChat%20Files/wz11030919/Attachment/03&#36807;&#31243;&#27169;&#26495;/&#39033;&#30446;&#35745;&#2101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05-&#27979;&#35797;&#29992;&#20363;/Documents%20and%20Settings/user1/Local%20Settings/Temporary%20Internet%20Files/Content.Outlook/J49S5G6D/SO-NX-&#26908;&#26619;-1206-011_Web&#12513;&#12540;&#12523;_SSL&#12450;&#12463;&#12475;&#12521;&#12524;&#12540;&#12479;&#23550;&#24540;_&#27231;&#33021;&#26908;&#26619;&#20181;&#27096;&#26360;&#20860;&#22577;&#21578;&#26360;%20(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05-&#27979;&#35797;&#29992;&#20363;/&#35413;&#20385;&#23436;&#20102;-SO-NX-&#20181;&#27096;-1305-020_StarOffice_X_V5_Web&#12513;&#12540;&#12523;_&#21066;&#38500;&#12518;&#12540;&#12470;&#12398;&#30330;&#20449;&#12513;&#12540;&#12523;&#23550;&#24540;_&#27231;&#33021;&#26908;&#26619;&#20181;&#27096;&#26360;&#20860;&#22577;&#21578;&#2636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05-&#27979;&#35797;&#29992;&#20363;/SVN_DOC/00-&#31649;&#29702;&#38306;&#36899;/06-&#21697;&#36074;&#31649;&#29702;/V3.1/10-FT/W4-017/W4-017_&#35079;&#25968;&#12489;&#12513;&#12452;&#12531;&#23550;&#24540;%20(&#35079;&#25968;&#26684;&#32013;&#12469;&#12540;&#12496;&#29872;&#22659;&#12395;&#12362;&#12369;&#12427;&#22238;&#35239;&#12513;&#12540;&#12523;&#21463;&#21462;&#29366;&#24907;&#19981;&#27491;&#21839;&#38988;&#12398;&#35299;&#38500;&#37096;&#20998;&#12398;&#12415;)&#27231;&#33021;&#26908;&#26619;FT&#20181;&#27096;&#2636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ather"/>
      <sheetName val="0"/>
      <sheetName val="1"/>
      <sheetName val="2"/>
      <sheetName val="3"/>
      <sheetName val="4"/>
      <sheetName val="5"/>
      <sheetName val="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ページ追加&amp;説明"/>
      <sheetName val="テスト実施状況（合計）"/>
      <sheetName val="テスト実施状況（シート毎＆日次）"/>
      <sheetName val="テスト進捗曲線"/>
      <sheetName val="NG項目数変化曲線"/>
      <sheetName val="TestItemPage (1)"/>
      <sheetName val="TestItemPage (2)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测试页追加&amp;说明"/>
      <sheetName val="Templet"/>
      <sheetName val="测试实施状况（合计）"/>
      <sheetName val="测试実施状況（页＆日次）"/>
      <sheetName val="测试进度曲线"/>
      <sheetName val="NG项目变化曲线"/>
      <sheetName val="测试项目一览表"/>
      <sheetName val="Item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ページ追加&amp;説明"/>
      <sheetName val="Templet"/>
      <sheetName val="テスト実施状況（合計）"/>
      <sheetName val="テスト実施状況（シート毎＆日次）"/>
      <sheetName val="テスト進捗曲線"/>
      <sheetName val="NG項目数変化曲線"/>
      <sheetName val="TestItemPage (1)"/>
      <sheetName val="TestItemPage (2)"/>
      <sheetName val="TestItemPage (3)"/>
      <sheetName val="TestItemPage (4)"/>
      <sheetName val="TestItemPage (5)"/>
      <sheetName val="TestItemPage (6)"/>
      <sheetName val="TestItemPage (7)"/>
      <sheetName val="TestItemPage (8)"/>
      <sheetName val="TestItemPage (9)"/>
      <sheetName val="TestItemPage (10)"/>
      <sheetName val="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文件封面"/>
      <sheetName val="文件修改控制"/>
      <sheetName val="封面"/>
      <sheetName val="修订记录"/>
      <sheetName val="目录"/>
      <sheetName val="定义"/>
      <sheetName val="总览"/>
      <sheetName val="指标"/>
      <sheetName val="概述"/>
      <sheetName val="目标"/>
      <sheetName val="成果物"/>
      <sheetName val="里程碑"/>
      <sheetName val="需求"/>
      <sheetName val="规模"/>
      <sheetName val="代码行"/>
      <sheetName val="质量"/>
      <sheetName val="工作量"/>
      <sheetName val="投入"/>
      <sheetName val="资源"/>
      <sheetName val="人员"/>
      <sheetName val="环境"/>
      <sheetName val="风险"/>
      <sheetName val="协调"/>
      <sheetName val="培训"/>
      <sheetName val="PDB"/>
      <sheetName val="SQAMonthl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ページ追加&amp;説明"/>
      <sheetName val="Templet"/>
      <sheetName val="テスト実施状況（合計）"/>
      <sheetName val="テスト実施状況（シート毎＆日次）"/>
      <sheetName val="テスト進捗曲線"/>
      <sheetName val="NG項目数変化曲線"/>
      <sheetName val="UI追加対応"/>
      <sheetName val="Ite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over "/>
      <sheetName val="ページ追加&amp;説明"/>
      <sheetName val="Templet"/>
      <sheetName val="テスト実施状況（合計）"/>
      <sheetName val="テスト実施状況（シート毎＆日次）"/>
      <sheetName val="テスト進捗曲線"/>
      <sheetName val="NG項目数変化曲線"/>
      <sheetName val="【FD観点】"/>
      <sheetName val="削除ユーザの発信メールに対する取り消し対応"/>
      <sheetName val="Ite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FitTest入力シート"/>
      <sheetName val="【FL表】SO-X WebMail基本動作確認表(抜粋)"/>
      <sheetName val="【評価】SO-X WebMail基本動作確認表(抜粋)"/>
      <sheetName val="観点"/>
      <sheetName val="基本動作確認表"/>
      <sheetName val="入力規則"/>
      <sheetName val="V3V4での状態整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1"/>
  <sheetViews>
    <sheetView showGridLines="0" view="pageBreakPreview" topLeftCell="A4" workbookViewId="0">
      <selection activeCell="AF13" sqref="AF13"/>
    </sheetView>
  </sheetViews>
  <sheetFormatPr defaultColWidth="3.625" defaultRowHeight="13.5"/>
  <cols>
    <col min="1" max="1" width="3.625" style="57"/>
    <col min="2" max="2" width="3.625" style="59"/>
    <col min="3" max="5" width="3.75" style="59" customWidth="1"/>
    <col min="6" max="7" width="3.625" style="59"/>
    <col min="8" max="19" width="3.625" style="59" customWidth="1"/>
    <col min="20" max="28" width="3.625" style="59"/>
    <col min="29" max="29" width="3.625" style="59" customWidth="1"/>
    <col min="30" max="258" width="3.625" style="59"/>
    <col min="259" max="261" width="3.75" style="59" customWidth="1"/>
    <col min="262" max="263" width="3.625" style="59"/>
    <col min="264" max="275" width="3.625" style="59" customWidth="1"/>
    <col min="276" max="284" width="3.625" style="59"/>
    <col min="285" max="285" width="3.625" style="59" customWidth="1"/>
    <col min="286" max="514" width="3.625" style="59"/>
    <col min="515" max="517" width="3.75" style="59" customWidth="1"/>
    <col min="518" max="519" width="3.625" style="59"/>
    <col min="520" max="531" width="3.625" style="59" customWidth="1"/>
    <col min="532" max="540" width="3.625" style="59"/>
    <col min="541" max="541" width="3.625" style="59" customWidth="1"/>
    <col min="542" max="770" width="3.625" style="59"/>
    <col min="771" max="773" width="3.75" style="59" customWidth="1"/>
    <col min="774" max="775" width="3.625" style="59"/>
    <col min="776" max="787" width="3.625" style="59" customWidth="1"/>
    <col min="788" max="796" width="3.625" style="59"/>
    <col min="797" max="797" width="3.625" style="59" customWidth="1"/>
    <col min="798" max="1026" width="3.625" style="59"/>
    <col min="1027" max="1029" width="3.75" style="59" customWidth="1"/>
    <col min="1030" max="1031" width="3.625" style="59"/>
    <col min="1032" max="1043" width="3.625" style="59" customWidth="1"/>
    <col min="1044" max="1052" width="3.625" style="59"/>
    <col min="1053" max="1053" width="3.625" style="59" customWidth="1"/>
    <col min="1054" max="1282" width="3.625" style="59"/>
    <col min="1283" max="1285" width="3.75" style="59" customWidth="1"/>
    <col min="1286" max="1287" width="3.625" style="59"/>
    <col min="1288" max="1299" width="3.625" style="59" customWidth="1"/>
    <col min="1300" max="1308" width="3.625" style="59"/>
    <col min="1309" max="1309" width="3.625" style="59" customWidth="1"/>
    <col min="1310" max="1538" width="3.625" style="59"/>
    <col min="1539" max="1541" width="3.75" style="59" customWidth="1"/>
    <col min="1542" max="1543" width="3.625" style="59"/>
    <col min="1544" max="1555" width="3.625" style="59" customWidth="1"/>
    <col min="1556" max="1564" width="3.625" style="59"/>
    <col min="1565" max="1565" width="3.625" style="59" customWidth="1"/>
    <col min="1566" max="1794" width="3.625" style="59"/>
    <col min="1795" max="1797" width="3.75" style="59" customWidth="1"/>
    <col min="1798" max="1799" width="3.625" style="59"/>
    <col min="1800" max="1811" width="3.625" style="59" customWidth="1"/>
    <col min="1812" max="1820" width="3.625" style="59"/>
    <col min="1821" max="1821" width="3.625" style="59" customWidth="1"/>
    <col min="1822" max="2050" width="3.625" style="59"/>
    <col min="2051" max="2053" width="3.75" style="59" customWidth="1"/>
    <col min="2054" max="2055" width="3.625" style="59"/>
    <col min="2056" max="2067" width="3.625" style="59" customWidth="1"/>
    <col min="2068" max="2076" width="3.625" style="59"/>
    <col min="2077" max="2077" width="3.625" style="59" customWidth="1"/>
    <col min="2078" max="2306" width="3.625" style="59"/>
    <col min="2307" max="2309" width="3.75" style="59" customWidth="1"/>
    <col min="2310" max="2311" width="3.625" style="59"/>
    <col min="2312" max="2323" width="3.625" style="59" customWidth="1"/>
    <col min="2324" max="2332" width="3.625" style="59"/>
    <col min="2333" max="2333" width="3.625" style="59" customWidth="1"/>
    <col min="2334" max="2562" width="3.625" style="59"/>
    <col min="2563" max="2565" width="3.75" style="59" customWidth="1"/>
    <col min="2566" max="2567" width="3.625" style="59"/>
    <col min="2568" max="2579" width="3.625" style="59" customWidth="1"/>
    <col min="2580" max="2588" width="3.625" style="59"/>
    <col min="2589" max="2589" width="3.625" style="59" customWidth="1"/>
    <col min="2590" max="2818" width="3.625" style="59"/>
    <col min="2819" max="2821" width="3.75" style="59" customWidth="1"/>
    <col min="2822" max="2823" width="3.625" style="59"/>
    <col min="2824" max="2835" width="3.625" style="59" customWidth="1"/>
    <col min="2836" max="2844" width="3.625" style="59"/>
    <col min="2845" max="2845" width="3.625" style="59" customWidth="1"/>
    <col min="2846" max="3074" width="3.625" style="59"/>
    <col min="3075" max="3077" width="3.75" style="59" customWidth="1"/>
    <col min="3078" max="3079" width="3.625" style="59"/>
    <col min="3080" max="3091" width="3.625" style="59" customWidth="1"/>
    <col min="3092" max="3100" width="3.625" style="59"/>
    <col min="3101" max="3101" width="3.625" style="59" customWidth="1"/>
    <col min="3102" max="3330" width="3.625" style="59"/>
    <col min="3331" max="3333" width="3.75" style="59" customWidth="1"/>
    <col min="3334" max="3335" width="3.625" style="59"/>
    <col min="3336" max="3347" width="3.625" style="59" customWidth="1"/>
    <col min="3348" max="3356" width="3.625" style="59"/>
    <col min="3357" max="3357" width="3.625" style="59" customWidth="1"/>
    <col min="3358" max="3586" width="3.625" style="59"/>
    <col min="3587" max="3589" width="3.75" style="59" customWidth="1"/>
    <col min="3590" max="3591" width="3.625" style="59"/>
    <col min="3592" max="3603" width="3.625" style="59" customWidth="1"/>
    <col min="3604" max="3612" width="3.625" style="59"/>
    <col min="3613" max="3613" width="3.625" style="59" customWidth="1"/>
    <col min="3614" max="3842" width="3.625" style="59"/>
    <col min="3843" max="3845" width="3.75" style="59" customWidth="1"/>
    <col min="3846" max="3847" width="3.625" style="59"/>
    <col min="3848" max="3859" width="3.625" style="59" customWidth="1"/>
    <col min="3860" max="3868" width="3.625" style="59"/>
    <col min="3869" max="3869" width="3.625" style="59" customWidth="1"/>
    <col min="3870" max="4098" width="3.625" style="59"/>
    <col min="4099" max="4101" width="3.75" style="59" customWidth="1"/>
    <col min="4102" max="4103" width="3.625" style="59"/>
    <col min="4104" max="4115" width="3.625" style="59" customWidth="1"/>
    <col min="4116" max="4124" width="3.625" style="59"/>
    <col min="4125" max="4125" width="3.625" style="59" customWidth="1"/>
    <col min="4126" max="4354" width="3.625" style="59"/>
    <col min="4355" max="4357" width="3.75" style="59" customWidth="1"/>
    <col min="4358" max="4359" width="3.625" style="59"/>
    <col min="4360" max="4371" width="3.625" style="59" customWidth="1"/>
    <col min="4372" max="4380" width="3.625" style="59"/>
    <col min="4381" max="4381" width="3.625" style="59" customWidth="1"/>
    <col min="4382" max="4610" width="3.625" style="59"/>
    <col min="4611" max="4613" width="3.75" style="59" customWidth="1"/>
    <col min="4614" max="4615" width="3.625" style="59"/>
    <col min="4616" max="4627" width="3.625" style="59" customWidth="1"/>
    <col min="4628" max="4636" width="3.625" style="59"/>
    <col min="4637" max="4637" width="3.625" style="59" customWidth="1"/>
    <col min="4638" max="4866" width="3.625" style="59"/>
    <col min="4867" max="4869" width="3.75" style="59" customWidth="1"/>
    <col min="4870" max="4871" width="3.625" style="59"/>
    <col min="4872" max="4883" width="3.625" style="59" customWidth="1"/>
    <col min="4884" max="4892" width="3.625" style="59"/>
    <col min="4893" max="4893" width="3.625" style="59" customWidth="1"/>
    <col min="4894" max="5122" width="3.625" style="59"/>
    <col min="5123" max="5125" width="3.75" style="59" customWidth="1"/>
    <col min="5126" max="5127" width="3.625" style="59"/>
    <col min="5128" max="5139" width="3.625" style="59" customWidth="1"/>
    <col min="5140" max="5148" width="3.625" style="59"/>
    <col min="5149" max="5149" width="3.625" style="59" customWidth="1"/>
    <col min="5150" max="5378" width="3.625" style="59"/>
    <col min="5379" max="5381" width="3.75" style="59" customWidth="1"/>
    <col min="5382" max="5383" width="3.625" style="59"/>
    <col min="5384" max="5395" width="3.625" style="59" customWidth="1"/>
    <col min="5396" max="5404" width="3.625" style="59"/>
    <col min="5405" max="5405" width="3.625" style="59" customWidth="1"/>
    <col min="5406" max="5634" width="3.625" style="59"/>
    <col min="5635" max="5637" width="3.75" style="59" customWidth="1"/>
    <col min="5638" max="5639" width="3.625" style="59"/>
    <col min="5640" max="5651" width="3.625" style="59" customWidth="1"/>
    <col min="5652" max="5660" width="3.625" style="59"/>
    <col min="5661" max="5661" width="3.625" style="59" customWidth="1"/>
    <col min="5662" max="5890" width="3.625" style="59"/>
    <col min="5891" max="5893" width="3.75" style="59" customWidth="1"/>
    <col min="5894" max="5895" width="3.625" style="59"/>
    <col min="5896" max="5907" width="3.625" style="59" customWidth="1"/>
    <col min="5908" max="5916" width="3.625" style="59"/>
    <col min="5917" max="5917" width="3.625" style="59" customWidth="1"/>
    <col min="5918" max="6146" width="3.625" style="59"/>
    <col min="6147" max="6149" width="3.75" style="59" customWidth="1"/>
    <col min="6150" max="6151" width="3.625" style="59"/>
    <col min="6152" max="6163" width="3.625" style="59" customWidth="1"/>
    <col min="6164" max="6172" width="3.625" style="59"/>
    <col min="6173" max="6173" width="3.625" style="59" customWidth="1"/>
    <col min="6174" max="6402" width="3.625" style="59"/>
    <col min="6403" max="6405" width="3.75" style="59" customWidth="1"/>
    <col min="6406" max="6407" width="3.625" style="59"/>
    <col min="6408" max="6419" width="3.625" style="59" customWidth="1"/>
    <col min="6420" max="6428" width="3.625" style="59"/>
    <col min="6429" max="6429" width="3.625" style="59" customWidth="1"/>
    <col min="6430" max="6658" width="3.625" style="59"/>
    <col min="6659" max="6661" width="3.75" style="59" customWidth="1"/>
    <col min="6662" max="6663" width="3.625" style="59"/>
    <col min="6664" max="6675" width="3.625" style="59" customWidth="1"/>
    <col min="6676" max="6684" width="3.625" style="59"/>
    <col min="6685" max="6685" width="3.625" style="59" customWidth="1"/>
    <col min="6686" max="6914" width="3.625" style="59"/>
    <col min="6915" max="6917" width="3.75" style="59" customWidth="1"/>
    <col min="6918" max="6919" width="3.625" style="59"/>
    <col min="6920" max="6931" width="3.625" style="59" customWidth="1"/>
    <col min="6932" max="6940" width="3.625" style="59"/>
    <col min="6941" max="6941" width="3.625" style="59" customWidth="1"/>
    <col min="6942" max="7170" width="3.625" style="59"/>
    <col min="7171" max="7173" width="3.75" style="59" customWidth="1"/>
    <col min="7174" max="7175" width="3.625" style="59"/>
    <col min="7176" max="7187" width="3.625" style="59" customWidth="1"/>
    <col min="7188" max="7196" width="3.625" style="59"/>
    <col min="7197" max="7197" width="3.625" style="59" customWidth="1"/>
    <col min="7198" max="7426" width="3.625" style="59"/>
    <col min="7427" max="7429" width="3.75" style="59" customWidth="1"/>
    <col min="7430" max="7431" width="3.625" style="59"/>
    <col min="7432" max="7443" width="3.625" style="59" customWidth="1"/>
    <col min="7444" max="7452" width="3.625" style="59"/>
    <col min="7453" max="7453" width="3.625" style="59" customWidth="1"/>
    <col min="7454" max="7682" width="3.625" style="59"/>
    <col min="7683" max="7685" width="3.75" style="59" customWidth="1"/>
    <col min="7686" max="7687" width="3.625" style="59"/>
    <col min="7688" max="7699" width="3.625" style="59" customWidth="1"/>
    <col min="7700" max="7708" width="3.625" style="59"/>
    <col min="7709" max="7709" width="3.625" style="59" customWidth="1"/>
    <col min="7710" max="7938" width="3.625" style="59"/>
    <col min="7939" max="7941" width="3.75" style="59" customWidth="1"/>
    <col min="7942" max="7943" width="3.625" style="59"/>
    <col min="7944" max="7955" width="3.625" style="59" customWidth="1"/>
    <col min="7956" max="7964" width="3.625" style="59"/>
    <col min="7965" max="7965" width="3.625" style="59" customWidth="1"/>
    <col min="7966" max="8194" width="3.625" style="59"/>
    <col min="8195" max="8197" width="3.75" style="59" customWidth="1"/>
    <col min="8198" max="8199" width="3.625" style="59"/>
    <col min="8200" max="8211" width="3.625" style="59" customWidth="1"/>
    <col min="8212" max="8220" width="3.625" style="59"/>
    <col min="8221" max="8221" width="3.625" style="59" customWidth="1"/>
    <col min="8222" max="8450" width="3.625" style="59"/>
    <col min="8451" max="8453" width="3.75" style="59" customWidth="1"/>
    <col min="8454" max="8455" width="3.625" style="59"/>
    <col min="8456" max="8467" width="3.625" style="59" customWidth="1"/>
    <col min="8468" max="8476" width="3.625" style="59"/>
    <col min="8477" max="8477" width="3.625" style="59" customWidth="1"/>
    <col min="8478" max="8706" width="3.625" style="59"/>
    <col min="8707" max="8709" width="3.75" style="59" customWidth="1"/>
    <col min="8710" max="8711" width="3.625" style="59"/>
    <col min="8712" max="8723" width="3.625" style="59" customWidth="1"/>
    <col min="8724" max="8732" width="3.625" style="59"/>
    <col min="8733" max="8733" width="3.625" style="59" customWidth="1"/>
    <col min="8734" max="8962" width="3.625" style="59"/>
    <col min="8963" max="8965" width="3.75" style="59" customWidth="1"/>
    <col min="8966" max="8967" width="3.625" style="59"/>
    <col min="8968" max="8979" width="3.625" style="59" customWidth="1"/>
    <col min="8980" max="8988" width="3.625" style="59"/>
    <col min="8989" max="8989" width="3.625" style="59" customWidth="1"/>
    <col min="8990" max="9218" width="3.625" style="59"/>
    <col min="9219" max="9221" width="3.75" style="59" customWidth="1"/>
    <col min="9222" max="9223" width="3.625" style="59"/>
    <col min="9224" max="9235" width="3.625" style="59" customWidth="1"/>
    <col min="9236" max="9244" width="3.625" style="59"/>
    <col min="9245" max="9245" width="3.625" style="59" customWidth="1"/>
    <col min="9246" max="9474" width="3.625" style="59"/>
    <col min="9475" max="9477" width="3.75" style="59" customWidth="1"/>
    <col min="9478" max="9479" width="3.625" style="59"/>
    <col min="9480" max="9491" width="3.625" style="59" customWidth="1"/>
    <col min="9492" max="9500" width="3.625" style="59"/>
    <col min="9501" max="9501" width="3.625" style="59" customWidth="1"/>
    <col min="9502" max="9730" width="3.625" style="59"/>
    <col min="9731" max="9733" width="3.75" style="59" customWidth="1"/>
    <col min="9734" max="9735" width="3.625" style="59"/>
    <col min="9736" max="9747" width="3.625" style="59" customWidth="1"/>
    <col min="9748" max="9756" width="3.625" style="59"/>
    <col min="9757" max="9757" width="3.625" style="59" customWidth="1"/>
    <col min="9758" max="9986" width="3.625" style="59"/>
    <col min="9987" max="9989" width="3.75" style="59" customWidth="1"/>
    <col min="9990" max="9991" width="3.625" style="59"/>
    <col min="9992" max="10003" width="3.625" style="59" customWidth="1"/>
    <col min="10004" max="10012" width="3.625" style="59"/>
    <col min="10013" max="10013" width="3.625" style="59" customWidth="1"/>
    <col min="10014" max="10242" width="3.625" style="59"/>
    <col min="10243" max="10245" width="3.75" style="59" customWidth="1"/>
    <col min="10246" max="10247" width="3.625" style="59"/>
    <col min="10248" max="10259" width="3.625" style="59" customWidth="1"/>
    <col min="10260" max="10268" width="3.625" style="59"/>
    <col min="10269" max="10269" width="3.625" style="59" customWidth="1"/>
    <col min="10270" max="10498" width="3.625" style="59"/>
    <col min="10499" max="10501" width="3.75" style="59" customWidth="1"/>
    <col min="10502" max="10503" width="3.625" style="59"/>
    <col min="10504" max="10515" width="3.625" style="59" customWidth="1"/>
    <col min="10516" max="10524" width="3.625" style="59"/>
    <col min="10525" max="10525" width="3.625" style="59" customWidth="1"/>
    <col min="10526" max="10754" width="3.625" style="59"/>
    <col min="10755" max="10757" width="3.75" style="59" customWidth="1"/>
    <col min="10758" max="10759" width="3.625" style="59"/>
    <col min="10760" max="10771" width="3.625" style="59" customWidth="1"/>
    <col min="10772" max="10780" width="3.625" style="59"/>
    <col min="10781" max="10781" width="3.625" style="59" customWidth="1"/>
    <col min="10782" max="11010" width="3.625" style="59"/>
    <col min="11011" max="11013" width="3.75" style="59" customWidth="1"/>
    <col min="11014" max="11015" width="3.625" style="59"/>
    <col min="11016" max="11027" width="3.625" style="59" customWidth="1"/>
    <col min="11028" max="11036" width="3.625" style="59"/>
    <col min="11037" max="11037" width="3.625" style="59" customWidth="1"/>
    <col min="11038" max="11266" width="3.625" style="59"/>
    <col min="11267" max="11269" width="3.75" style="59" customWidth="1"/>
    <col min="11270" max="11271" width="3.625" style="59"/>
    <col min="11272" max="11283" width="3.625" style="59" customWidth="1"/>
    <col min="11284" max="11292" width="3.625" style="59"/>
    <col min="11293" max="11293" width="3.625" style="59" customWidth="1"/>
    <col min="11294" max="11522" width="3.625" style="59"/>
    <col min="11523" max="11525" width="3.75" style="59" customWidth="1"/>
    <col min="11526" max="11527" width="3.625" style="59"/>
    <col min="11528" max="11539" width="3.625" style="59" customWidth="1"/>
    <col min="11540" max="11548" width="3.625" style="59"/>
    <col min="11549" max="11549" width="3.625" style="59" customWidth="1"/>
    <col min="11550" max="11778" width="3.625" style="59"/>
    <col min="11779" max="11781" width="3.75" style="59" customWidth="1"/>
    <col min="11782" max="11783" width="3.625" style="59"/>
    <col min="11784" max="11795" width="3.625" style="59" customWidth="1"/>
    <col min="11796" max="11804" width="3.625" style="59"/>
    <col min="11805" max="11805" width="3.625" style="59" customWidth="1"/>
    <col min="11806" max="12034" width="3.625" style="59"/>
    <col min="12035" max="12037" width="3.75" style="59" customWidth="1"/>
    <col min="12038" max="12039" width="3.625" style="59"/>
    <col min="12040" max="12051" width="3.625" style="59" customWidth="1"/>
    <col min="12052" max="12060" width="3.625" style="59"/>
    <col min="12061" max="12061" width="3.625" style="59" customWidth="1"/>
    <col min="12062" max="12290" width="3.625" style="59"/>
    <col min="12291" max="12293" width="3.75" style="59" customWidth="1"/>
    <col min="12294" max="12295" width="3.625" style="59"/>
    <col min="12296" max="12307" width="3.625" style="59" customWidth="1"/>
    <col min="12308" max="12316" width="3.625" style="59"/>
    <col min="12317" max="12317" width="3.625" style="59" customWidth="1"/>
    <col min="12318" max="12546" width="3.625" style="59"/>
    <col min="12547" max="12549" width="3.75" style="59" customWidth="1"/>
    <col min="12550" max="12551" width="3.625" style="59"/>
    <col min="12552" max="12563" width="3.625" style="59" customWidth="1"/>
    <col min="12564" max="12572" width="3.625" style="59"/>
    <col min="12573" max="12573" width="3.625" style="59" customWidth="1"/>
    <col min="12574" max="12802" width="3.625" style="59"/>
    <col min="12803" max="12805" width="3.75" style="59" customWidth="1"/>
    <col min="12806" max="12807" width="3.625" style="59"/>
    <col min="12808" max="12819" width="3.625" style="59" customWidth="1"/>
    <col min="12820" max="12828" width="3.625" style="59"/>
    <col min="12829" max="12829" width="3.625" style="59" customWidth="1"/>
    <col min="12830" max="13058" width="3.625" style="59"/>
    <col min="13059" max="13061" width="3.75" style="59" customWidth="1"/>
    <col min="13062" max="13063" width="3.625" style="59"/>
    <col min="13064" max="13075" width="3.625" style="59" customWidth="1"/>
    <col min="13076" max="13084" width="3.625" style="59"/>
    <col min="13085" max="13085" width="3.625" style="59" customWidth="1"/>
    <col min="13086" max="13314" width="3.625" style="59"/>
    <col min="13315" max="13317" width="3.75" style="59" customWidth="1"/>
    <col min="13318" max="13319" width="3.625" style="59"/>
    <col min="13320" max="13331" width="3.625" style="59" customWidth="1"/>
    <col min="13332" max="13340" width="3.625" style="59"/>
    <col min="13341" max="13341" width="3.625" style="59" customWidth="1"/>
    <col min="13342" max="13570" width="3.625" style="59"/>
    <col min="13571" max="13573" width="3.75" style="59" customWidth="1"/>
    <col min="13574" max="13575" width="3.625" style="59"/>
    <col min="13576" max="13587" width="3.625" style="59" customWidth="1"/>
    <col min="13588" max="13596" width="3.625" style="59"/>
    <col min="13597" max="13597" width="3.625" style="59" customWidth="1"/>
    <col min="13598" max="13826" width="3.625" style="59"/>
    <col min="13827" max="13829" width="3.75" style="59" customWidth="1"/>
    <col min="13830" max="13831" width="3.625" style="59"/>
    <col min="13832" max="13843" width="3.625" style="59" customWidth="1"/>
    <col min="13844" max="13852" width="3.625" style="59"/>
    <col min="13853" max="13853" width="3.625" style="59" customWidth="1"/>
    <col min="13854" max="14082" width="3.625" style="59"/>
    <col min="14083" max="14085" width="3.75" style="59" customWidth="1"/>
    <col min="14086" max="14087" width="3.625" style="59"/>
    <col min="14088" max="14099" width="3.625" style="59" customWidth="1"/>
    <col min="14100" max="14108" width="3.625" style="59"/>
    <col min="14109" max="14109" width="3.625" style="59" customWidth="1"/>
    <col min="14110" max="14338" width="3.625" style="59"/>
    <col min="14339" max="14341" width="3.75" style="59" customWidth="1"/>
    <col min="14342" max="14343" width="3.625" style="59"/>
    <col min="14344" max="14355" width="3.625" style="59" customWidth="1"/>
    <col min="14356" max="14364" width="3.625" style="59"/>
    <col min="14365" max="14365" width="3.625" style="59" customWidth="1"/>
    <col min="14366" max="14594" width="3.625" style="59"/>
    <col min="14595" max="14597" width="3.75" style="59" customWidth="1"/>
    <col min="14598" max="14599" width="3.625" style="59"/>
    <col min="14600" max="14611" width="3.625" style="59" customWidth="1"/>
    <col min="14612" max="14620" width="3.625" style="59"/>
    <col min="14621" max="14621" width="3.625" style="59" customWidth="1"/>
    <col min="14622" max="14850" width="3.625" style="59"/>
    <col min="14851" max="14853" width="3.75" style="59" customWidth="1"/>
    <col min="14854" max="14855" width="3.625" style="59"/>
    <col min="14856" max="14867" width="3.625" style="59" customWidth="1"/>
    <col min="14868" max="14876" width="3.625" style="59"/>
    <col min="14877" max="14877" width="3.625" style="59" customWidth="1"/>
    <col min="14878" max="15106" width="3.625" style="59"/>
    <col min="15107" max="15109" width="3.75" style="59" customWidth="1"/>
    <col min="15110" max="15111" width="3.625" style="59"/>
    <col min="15112" max="15123" width="3.625" style="59" customWidth="1"/>
    <col min="15124" max="15132" width="3.625" style="59"/>
    <col min="15133" max="15133" width="3.625" style="59" customWidth="1"/>
    <col min="15134" max="15362" width="3.625" style="59"/>
    <col min="15363" max="15365" width="3.75" style="59" customWidth="1"/>
    <col min="15366" max="15367" width="3.625" style="59"/>
    <col min="15368" max="15379" width="3.625" style="59" customWidth="1"/>
    <col min="15380" max="15388" width="3.625" style="59"/>
    <col min="15389" max="15389" width="3.625" style="59" customWidth="1"/>
    <col min="15390" max="15618" width="3.625" style="59"/>
    <col min="15619" max="15621" width="3.75" style="59" customWidth="1"/>
    <col min="15622" max="15623" width="3.625" style="59"/>
    <col min="15624" max="15635" width="3.625" style="59" customWidth="1"/>
    <col min="15636" max="15644" width="3.625" style="59"/>
    <col min="15645" max="15645" width="3.625" style="59" customWidth="1"/>
    <col min="15646" max="15874" width="3.625" style="59"/>
    <col min="15875" max="15877" width="3.75" style="59" customWidth="1"/>
    <col min="15878" max="15879" width="3.625" style="59"/>
    <col min="15880" max="15891" width="3.625" style="59" customWidth="1"/>
    <col min="15892" max="15900" width="3.625" style="59"/>
    <col min="15901" max="15901" width="3.625" style="59" customWidth="1"/>
    <col min="15902" max="16130" width="3.625" style="59"/>
    <col min="16131" max="16133" width="3.75" style="59" customWidth="1"/>
    <col min="16134" max="16135" width="3.625" style="59"/>
    <col min="16136" max="16147" width="3.625" style="59" customWidth="1"/>
    <col min="16148" max="16156" width="3.625" style="59"/>
    <col min="16157" max="16157" width="3.625" style="59" customWidth="1"/>
    <col min="16158" max="16384" width="3.625" style="59"/>
  </cols>
  <sheetData>
    <row r="1" spans="1:30" s="57" customFormat="1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spans="1:30" ht="29.25" customHeight="1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8" t="s">
        <v>86</v>
      </c>
      <c r="T2" s="56"/>
      <c r="V2" s="56"/>
      <c r="W2" s="56"/>
      <c r="X2" s="56"/>
      <c r="Z2" s="56"/>
      <c r="AA2" s="56"/>
      <c r="AB2" s="56"/>
    </row>
    <row r="3" spans="1:30" ht="17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60" t="s">
        <v>87</v>
      </c>
      <c r="U3" s="56"/>
      <c r="W3" s="56"/>
      <c r="X3" s="56"/>
      <c r="Y3" s="56"/>
      <c r="AA3" s="56"/>
      <c r="AB3" s="56"/>
    </row>
    <row r="4" spans="1:30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spans="1:30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61"/>
      <c r="AB5" s="61"/>
      <c r="AC5" s="57"/>
      <c r="AD5" s="57"/>
    </row>
    <row r="6" spans="1:30">
      <c r="A6" s="56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56"/>
      <c r="AB6" s="56"/>
    </row>
    <row r="7" spans="1:30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spans="1:30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 spans="1:30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 spans="1:3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 spans="1:30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 spans="1:30" ht="13.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 spans="1:30" ht="63.75">
      <c r="A13" s="63"/>
      <c r="B13" s="82" t="s">
        <v>93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63"/>
    </row>
    <row r="14" spans="1:30">
      <c r="A14" s="56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</row>
    <row r="15" spans="1:30" ht="61.5" customHeight="1">
      <c r="A15" s="56"/>
      <c r="B15" s="83" t="s">
        <v>94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</row>
    <row r="16" spans="1:30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spans="1:28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spans="1:2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 spans="1:28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 spans="1:28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 spans="1:28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 spans="1:28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 spans="1:28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 spans="1:28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 spans="1:28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 spans="1:28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spans="1:28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 spans="1: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 spans="1:28" ht="20.2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64"/>
      <c r="Y29" s="56"/>
      <c r="Z29" s="56"/>
      <c r="AA29" s="56"/>
      <c r="AB29" s="56"/>
    </row>
    <row r="30" spans="1:28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 spans="1:28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 spans="1:28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 spans="1:28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 spans="1:28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 spans="1:28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 spans="1:28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 spans="1:28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 spans="1:2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 spans="1:28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 spans="1:28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 spans="1:28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 spans="1:28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 spans="1:28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 spans="1:28" ht="19.5">
      <c r="A44" s="56"/>
      <c r="B44" s="65" t="s">
        <v>88</v>
      </c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 spans="1:28" ht="21.75">
      <c r="A45" s="56"/>
      <c r="B45" s="66" t="s">
        <v>89</v>
      </c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 spans="1:28" ht="17.25">
      <c r="A46" s="56"/>
      <c r="B46" s="67" t="s">
        <v>90</v>
      </c>
      <c r="C46" s="68"/>
      <c r="D46" s="68"/>
      <c r="E46" s="68"/>
      <c r="F46" s="60"/>
      <c r="G46" s="60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 spans="1:28" ht="17.25">
      <c r="A47" s="56"/>
      <c r="B47" s="67" t="s">
        <v>91</v>
      </c>
      <c r="C47" s="67"/>
      <c r="D47" s="67"/>
      <c r="E47" s="67"/>
      <c r="F47" s="60"/>
      <c r="G47" s="60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 spans="1:28" ht="17.25">
      <c r="A48" s="56"/>
      <c r="B48" s="60" t="s">
        <v>92</v>
      </c>
      <c r="C48" s="60"/>
      <c r="D48" s="60"/>
      <c r="E48" s="60"/>
      <c r="F48" s="60"/>
      <c r="G48" s="60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 spans="1:28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 spans="1:28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 spans="1:28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</sheetData>
  <mergeCells count="2">
    <mergeCell ref="B13:AB14"/>
    <mergeCell ref="B15:AB15"/>
  </mergeCells>
  <phoneticPr fontId="41" type="noConversion"/>
  <pageMargins left="0.71" right="0.71" top="0.75" bottom="0.75" header="0.31" footer="0.31"/>
  <pageSetup paperSize="9" scale="77" orientation="portrait" r:id="rId1"/>
  <headerFooter>
    <oddFooter>&amp;L河南省863软件孵化器有限公司&amp;R第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2"/>
  <sheetViews>
    <sheetView showGridLines="0" tabSelected="1" view="pageBreakPreview" zoomScale="85" zoomScaleNormal="80" zoomScaleSheetLayoutView="85" workbookViewId="0">
      <pane xSplit="5" ySplit="3" topLeftCell="H13" activePane="bottomRight" state="frozen"/>
      <selection pane="topRight"/>
      <selection pane="bottomLeft"/>
      <selection pane="bottomRight" activeCell="C6" sqref="C6:D58"/>
    </sheetView>
  </sheetViews>
  <sheetFormatPr defaultColWidth="9" defaultRowHeight="14.25"/>
  <cols>
    <col min="1" max="1" width="5.75" style="5" customWidth="1"/>
    <col min="2" max="2" width="5.75" style="78" customWidth="1"/>
    <col min="3" max="3" width="24.5" style="6" customWidth="1"/>
    <col min="4" max="4" width="21.875" style="6" customWidth="1"/>
    <col min="5" max="5" width="8.625" customWidth="1"/>
    <col min="6" max="6" width="7.75" hidden="1" customWidth="1"/>
    <col min="7" max="7" width="10.875" hidden="1" customWidth="1"/>
    <col min="8" max="8" width="17.625" style="7" customWidth="1"/>
    <col min="9" max="10" width="10.625" style="7" customWidth="1"/>
    <col min="11" max="11" width="7.5" style="7" customWidth="1"/>
    <col min="12" max="13" width="10.625" style="7" customWidth="1"/>
    <col min="14" max="14" width="7.125" customWidth="1"/>
    <col min="15" max="15" width="7.875" customWidth="1"/>
    <col min="16" max="16" width="23.875" customWidth="1"/>
    <col min="17" max="17" width="4.25" customWidth="1"/>
  </cols>
  <sheetData>
    <row r="1" spans="1:16" s="1" customFormat="1" ht="24.95" customHeight="1">
      <c r="A1" s="84" t="s">
        <v>85</v>
      </c>
      <c r="B1" s="84"/>
      <c r="C1" s="84"/>
      <c r="D1" s="84"/>
      <c r="E1" s="85"/>
      <c r="F1" s="85"/>
      <c r="G1" s="85"/>
      <c r="H1" s="86"/>
      <c r="I1" s="86"/>
      <c r="J1" s="86"/>
      <c r="K1" s="86"/>
      <c r="L1" s="86"/>
      <c r="M1" s="86"/>
      <c r="N1" s="85"/>
      <c r="O1" s="85"/>
      <c r="P1" s="85"/>
    </row>
    <row r="2" spans="1:16" s="1" customFormat="1" ht="39" customHeight="1">
      <c r="A2" s="99" t="s">
        <v>0</v>
      </c>
      <c r="B2" s="94" t="s">
        <v>1</v>
      </c>
      <c r="C2" s="94" t="s">
        <v>2</v>
      </c>
      <c r="D2" s="94" t="s">
        <v>3</v>
      </c>
      <c r="E2" s="96" t="s">
        <v>4</v>
      </c>
      <c r="F2" s="87"/>
      <c r="G2" s="88"/>
      <c r="H2" s="89" t="s">
        <v>95</v>
      </c>
      <c r="I2" s="90"/>
      <c r="J2" s="90"/>
      <c r="K2" s="90"/>
      <c r="L2" s="90"/>
      <c r="M2" s="90"/>
      <c r="N2" s="91"/>
      <c r="O2" s="91"/>
      <c r="P2" s="91"/>
    </row>
    <row r="3" spans="1:16" s="2" customFormat="1" ht="45.75" customHeight="1">
      <c r="A3" s="100"/>
      <c r="B3" s="95"/>
      <c r="C3" s="95"/>
      <c r="D3" s="95"/>
      <c r="E3" s="96"/>
      <c r="F3" s="8" t="s">
        <v>8</v>
      </c>
      <c r="G3" s="8" t="s">
        <v>9</v>
      </c>
      <c r="H3" s="26" t="s">
        <v>96</v>
      </c>
      <c r="I3" s="26" t="s">
        <v>10</v>
      </c>
      <c r="J3" s="26" t="s">
        <v>5</v>
      </c>
      <c r="K3" s="27" t="s">
        <v>11</v>
      </c>
      <c r="L3" s="26" t="s">
        <v>6</v>
      </c>
      <c r="M3" s="26" t="s">
        <v>7</v>
      </c>
      <c r="N3" s="36" t="s">
        <v>8</v>
      </c>
      <c r="O3" s="37" t="s">
        <v>12</v>
      </c>
      <c r="P3" s="36" t="s">
        <v>13</v>
      </c>
    </row>
    <row r="4" spans="1:16" s="39" customFormat="1" ht="35.25" customHeight="1">
      <c r="A4" s="101">
        <v>1</v>
      </c>
      <c r="B4" s="107" t="s">
        <v>97</v>
      </c>
      <c r="C4" s="92" t="s">
        <v>98</v>
      </c>
      <c r="D4" s="93"/>
      <c r="E4" s="75" t="s">
        <v>14</v>
      </c>
      <c r="F4" s="53"/>
      <c r="G4" s="9"/>
      <c r="H4" s="31" t="s">
        <v>99</v>
      </c>
      <c r="I4" s="31">
        <v>42958</v>
      </c>
      <c r="J4" s="31">
        <v>42958</v>
      </c>
      <c r="K4" s="19">
        <f t="shared" ref="K4:K17" si="0">IF(OR(I4="",J4=""),"",NETWORKDAYS(I4,J4))</f>
        <v>1</v>
      </c>
      <c r="L4" s="31"/>
      <c r="M4" s="32"/>
      <c r="N4" s="31"/>
      <c r="O4" s="31"/>
      <c r="P4" s="38"/>
    </row>
    <row r="5" spans="1:16" s="41" customFormat="1" ht="35.25" customHeight="1">
      <c r="A5" s="101"/>
      <c r="B5" s="107"/>
      <c r="C5" s="92" t="s">
        <v>106</v>
      </c>
      <c r="D5" s="93"/>
      <c r="E5" s="72" t="s">
        <v>14</v>
      </c>
      <c r="F5" s="11"/>
      <c r="G5" s="9"/>
      <c r="H5" s="31" t="s">
        <v>99</v>
      </c>
      <c r="I5" s="31">
        <v>42958</v>
      </c>
      <c r="J5" s="31">
        <v>42958</v>
      </c>
      <c r="K5" s="19">
        <f t="shared" si="0"/>
        <v>1</v>
      </c>
      <c r="L5" s="31"/>
      <c r="M5" s="32"/>
      <c r="N5" s="31"/>
      <c r="O5" s="31"/>
      <c r="P5" s="38"/>
    </row>
    <row r="6" spans="1:16" s="31" customFormat="1" ht="18" customHeight="1">
      <c r="A6" s="102">
        <v>2</v>
      </c>
      <c r="B6" s="108" t="s">
        <v>101</v>
      </c>
      <c r="C6" s="40" t="s">
        <v>15</v>
      </c>
      <c r="D6" s="73" t="s">
        <v>16</v>
      </c>
      <c r="E6" s="77" t="s">
        <v>14</v>
      </c>
      <c r="F6" s="54"/>
      <c r="G6" s="55"/>
      <c r="H6" s="31" t="s">
        <v>100</v>
      </c>
      <c r="I6" s="31">
        <v>42958</v>
      </c>
      <c r="J6" s="31">
        <v>42958</v>
      </c>
      <c r="K6" s="19">
        <f t="shared" si="0"/>
        <v>1</v>
      </c>
      <c r="L6" s="33"/>
      <c r="O6" s="32"/>
    </row>
    <row r="7" spans="1:16" s="32" customFormat="1" ht="13.5">
      <c r="A7" s="103"/>
      <c r="B7" s="109"/>
      <c r="C7" s="113" t="s">
        <v>17</v>
      </c>
      <c r="D7" s="73" t="s">
        <v>17</v>
      </c>
      <c r="E7" s="76" t="s">
        <v>14</v>
      </c>
      <c r="F7" s="3"/>
      <c r="G7" s="12"/>
      <c r="H7" s="31" t="s">
        <v>100</v>
      </c>
      <c r="I7" s="31">
        <v>42958</v>
      </c>
      <c r="J7" s="31">
        <v>42958</v>
      </c>
      <c r="K7" s="79">
        <v>1</v>
      </c>
      <c r="L7" s="17"/>
      <c r="M7" s="29"/>
      <c r="N7" s="33"/>
      <c r="O7" s="31"/>
      <c r="P7" s="31"/>
    </row>
    <row r="8" spans="1:16" s="31" customFormat="1">
      <c r="A8" s="103"/>
      <c r="B8" s="109"/>
      <c r="C8" s="114"/>
      <c r="D8" s="31" t="s">
        <v>18</v>
      </c>
      <c r="E8" s="38" t="s">
        <v>14</v>
      </c>
      <c r="F8" s="41"/>
      <c r="G8" s="42"/>
      <c r="H8" s="31" t="s">
        <v>100</v>
      </c>
      <c r="I8" s="31">
        <v>42958</v>
      </c>
      <c r="J8" s="31">
        <v>42958</v>
      </c>
      <c r="K8" s="80">
        <f t="shared" si="0"/>
        <v>1</v>
      </c>
      <c r="L8" s="11"/>
      <c r="M8" s="9"/>
      <c r="N8" s="17"/>
      <c r="O8" s="29"/>
      <c r="P8" s="33"/>
    </row>
    <row r="9" spans="1:16" s="29" customFormat="1">
      <c r="A9" s="103"/>
      <c r="B9" s="109"/>
      <c r="C9" s="114"/>
      <c r="D9" s="32" t="s">
        <v>19</v>
      </c>
      <c r="E9" s="31" t="s">
        <v>14</v>
      </c>
      <c r="F9" s="31"/>
      <c r="G9" s="38"/>
      <c r="H9" s="31" t="s">
        <v>100</v>
      </c>
      <c r="I9" s="31">
        <v>42958</v>
      </c>
      <c r="J9" s="31">
        <v>42958</v>
      </c>
      <c r="K9" s="81">
        <f t="shared" si="0"/>
        <v>1</v>
      </c>
      <c r="L9" s="13"/>
      <c r="M9" s="15"/>
      <c r="N9" s="14"/>
      <c r="O9" s="9"/>
      <c r="P9" s="17"/>
    </row>
    <row r="10" spans="1:16" s="9" customFormat="1">
      <c r="A10" s="103"/>
      <c r="B10" s="109"/>
      <c r="C10" s="115"/>
      <c r="D10" s="31" t="s">
        <v>20</v>
      </c>
      <c r="E10" s="31" t="s">
        <v>14</v>
      </c>
      <c r="F10" s="32"/>
      <c r="G10" s="31"/>
      <c r="H10" s="31" t="s">
        <v>100</v>
      </c>
      <c r="I10" s="31">
        <v>42958</v>
      </c>
      <c r="J10" s="31">
        <v>42958</v>
      </c>
      <c r="K10" s="46">
        <f t="shared" si="0"/>
        <v>1</v>
      </c>
      <c r="L10" s="3"/>
      <c r="M10" s="12"/>
      <c r="N10" s="13"/>
      <c r="O10" s="16"/>
      <c r="P10" s="14"/>
    </row>
    <row r="11" spans="1:16" s="3" customFormat="1" ht="13.5">
      <c r="A11" s="103"/>
      <c r="B11" s="109"/>
      <c r="C11" s="116"/>
      <c r="D11" s="74" t="s">
        <v>21</v>
      </c>
      <c r="E11" s="33" t="s">
        <v>14</v>
      </c>
      <c r="F11" s="69"/>
      <c r="G11" s="70"/>
      <c r="H11" s="71" t="s">
        <v>100</v>
      </c>
      <c r="I11" s="31">
        <v>42958</v>
      </c>
      <c r="J11" s="31">
        <v>42958</v>
      </c>
      <c r="K11" s="32">
        <f t="shared" si="0"/>
        <v>1</v>
      </c>
      <c r="L11" s="31"/>
      <c r="M11" s="31"/>
      <c r="N11" s="38"/>
      <c r="O11" s="39"/>
      <c r="P11" s="42"/>
    </row>
    <row r="12" spans="1:16" s="3" customFormat="1" ht="13.5">
      <c r="A12" s="104"/>
      <c r="B12" s="110"/>
      <c r="C12" s="119" t="s">
        <v>22</v>
      </c>
      <c r="D12" s="14" t="s">
        <v>23</v>
      </c>
      <c r="E12" s="9" t="s">
        <v>14</v>
      </c>
      <c r="F12" s="17"/>
      <c r="G12" s="29"/>
      <c r="H12" s="33" t="s">
        <v>100</v>
      </c>
      <c r="I12" s="31">
        <v>42961</v>
      </c>
      <c r="J12" s="31">
        <v>42961</v>
      </c>
      <c r="K12" s="32">
        <f t="shared" si="0"/>
        <v>1</v>
      </c>
      <c r="L12" s="31"/>
      <c r="M12" s="31"/>
      <c r="N12" s="38"/>
      <c r="O12" s="39"/>
      <c r="P12" s="42"/>
    </row>
    <row r="13" spans="1:16" s="3" customFormat="1" ht="13.5">
      <c r="A13" s="104"/>
      <c r="B13" s="110"/>
      <c r="C13" s="120"/>
      <c r="D13" s="14" t="s">
        <v>24</v>
      </c>
      <c r="E13" s="9" t="s">
        <v>14</v>
      </c>
      <c r="F13" s="17"/>
      <c r="G13" s="29"/>
      <c r="H13" s="33" t="s">
        <v>100</v>
      </c>
      <c r="I13" s="31">
        <v>42961</v>
      </c>
      <c r="J13" s="31">
        <v>42961</v>
      </c>
      <c r="K13" s="32">
        <f t="shared" si="0"/>
        <v>1</v>
      </c>
      <c r="L13" s="31"/>
      <c r="M13" s="31"/>
      <c r="N13" s="38"/>
      <c r="O13" s="39"/>
      <c r="P13" s="42"/>
    </row>
    <row r="14" spans="1:16" s="3" customFormat="1" ht="13.5">
      <c r="A14" s="104"/>
      <c r="B14" s="110"/>
      <c r="C14" s="119" t="s">
        <v>25</v>
      </c>
      <c r="D14" s="14" t="s">
        <v>26</v>
      </c>
      <c r="E14" s="9" t="s">
        <v>14</v>
      </c>
      <c r="F14" s="17"/>
      <c r="G14" s="29"/>
      <c r="H14" s="33" t="s">
        <v>100</v>
      </c>
      <c r="I14" s="31">
        <v>42961</v>
      </c>
      <c r="J14" s="31">
        <v>42961</v>
      </c>
      <c r="K14" s="32">
        <f t="shared" si="0"/>
        <v>1</v>
      </c>
      <c r="L14" s="31"/>
      <c r="M14" s="31"/>
      <c r="N14" s="38"/>
      <c r="O14" s="39"/>
      <c r="P14" s="42"/>
    </row>
    <row r="15" spans="1:16" s="3" customFormat="1" ht="13.5">
      <c r="A15" s="104"/>
      <c r="B15" s="110"/>
      <c r="C15" s="120"/>
      <c r="D15" s="14" t="s">
        <v>27</v>
      </c>
      <c r="E15" s="9" t="s">
        <v>14</v>
      </c>
      <c r="F15" s="17"/>
      <c r="G15" s="29"/>
      <c r="H15" s="33" t="s">
        <v>100</v>
      </c>
      <c r="I15" s="31">
        <v>42961</v>
      </c>
      <c r="J15" s="31">
        <v>42961</v>
      </c>
      <c r="K15" s="32">
        <f t="shared" si="0"/>
        <v>1</v>
      </c>
      <c r="L15" s="31"/>
      <c r="M15" s="31"/>
      <c r="N15" s="38"/>
      <c r="O15" s="39"/>
      <c r="P15" s="42"/>
    </row>
    <row r="16" spans="1:16" s="3" customFormat="1">
      <c r="A16" s="104"/>
      <c r="B16" s="110"/>
      <c r="C16" s="10" t="s">
        <v>28</v>
      </c>
      <c r="D16" s="14" t="s">
        <v>29</v>
      </c>
      <c r="E16" s="9" t="s">
        <v>14</v>
      </c>
      <c r="F16" s="17"/>
      <c r="G16" s="28"/>
      <c r="H16" s="33" t="s">
        <v>100</v>
      </c>
      <c r="I16" s="31">
        <v>42961</v>
      </c>
      <c r="J16" s="31">
        <v>42961</v>
      </c>
      <c r="K16" s="32">
        <f t="shared" si="0"/>
        <v>1</v>
      </c>
      <c r="L16" s="31"/>
      <c r="M16" s="31"/>
      <c r="N16" s="43"/>
      <c r="O16" s="41"/>
      <c r="P16" s="42"/>
    </row>
    <row r="17" spans="1:16" s="3" customFormat="1" ht="13.5">
      <c r="A17" s="104"/>
      <c r="B17" s="110"/>
      <c r="C17" s="119" t="s">
        <v>30</v>
      </c>
      <c r="D17" s="14" t="s">
        <v>30</v>
      </c>
      <c r="E17" s="9" t="s">
        <v>14</v>
      </c>
      <c r="F17" s="17"/>
      <c r="G17" s="28"/>
      <c r="H17" s="33" t="s">
        <v>100</v>
      </c>
      <c r="I17" s="31">
        <v>42961</v>
      </c>
      <c r="J17" s="31">
        <v>42961</v>
      </c>
      <c r="K17" s="32">
        <f t="shared" si="0"/>
        <v>1</v>
      </c>
      <c r="L17" s="31"/>
      <c r="M17" s="31"/>
      <c r="O17" s="41"/>
      <c r="P17" s="42"/>
    </row>
    <row r="18" spans="1:16" s="3" customFormat="1" ht="13.5">
      <c r="A18" s="104"/>
      <c r="B18" s="110"/>
      <c r="C18" s="121"/>
      <c r="D18" s="14" t="s">
        <v>31</v>
      </c>
      <c r="E18" s="9" t="s">
        <v>14</v>
      </c>
      <c r="F18" s="17"/>
      <c r="G18" s="28"/>
      <c r="H18" s="33" t="s">
        <v>100</v>
      </c>
      <c r="I18" s="31">
        <v>42961</v>
      </c>
      <c r="J18" s="31">
        <v>42961</v>
      </c>
      <c r="K18" s="32">
        <v>1</v>
      </c>
      <c r="L18" s="31"/>
      <c r="M18" s="31"/>
      <c r="N18" s="43"/>
      <c r="O18" s="41"/>
      <c r="P18" s="42"/>
    </row>
    <row r="19" spans="1:16" s="3" customFormat="1" ht="13.5">
      <c r="A19" s="104"/>
      <c r="B19" s="110"/>
      <c r="C19" s="122"/>
      <c r="D19" s="14" t="s">
        <v>32</v>
      </c>
      <c r="E19" s="9" t="s">
        <v>14</v>
      </c>
      <c r="F19" s="17"/>
      <c r="G19" s="28"/>
      <c r="H19" s="33" t="s">
        <v>100</v>
      </c>
      <c r="I19" s="31">
        <v>42961</v>
      </c>
      <c r="J19" s="31">
        <v>42961</v>
      </c>
      <c r="K19" s="32">
        <v>1</v>
      </c>
      <c r="L19" s="17"/>
      <c r="M19" s="17"/>
      <c r="N19" s="17"/>
      <c r="O19" s="41"/>
      <c r="P19" s="42"/>
    </row>
    <row r="20" spans="1:16" s="3" customFormat="1" ht="13.5">
      <c r="A20" s="104"/>
      <c r="B20" s="110"/>
      <c r="C20" s="121"/>
      <c r="D20" s="14" t="s">
        <v>33</v>
      </c>
      <c r="E20" s="9" t="s">
        <v>14</v>
      </c>
      <c r="F20" s="17"/>
      <c r="G20" s="28"/>
      <c r="H20" s="33" t="s">
        <v>100</v>
      </c>
      <c r="I20" s="31">
        <v>42961</v>
      </c>
      <c r="J20" s="31">
        <v>42961</v>
      </c>
      <c r="K20" s="32">
        <f>IF(OR(I20="",J20=""),"",NETWORKDAYS(I20,J20))</f>
        <v>1</v>
      </c>
      <c r="L20" s="31"/>
      <c r="M20" s="31"/>
      <c r="N20" s="17"/>
      <c r="O20" s="41"/>
      <c r="P20" s="42"/>
    </row>
    <row r="21" spans="1:16" s="3" customFormat="1" ht="13.5">
      <c r="A21" s="104"/>
      <c r="B21" s="110"/>
      <c r="C21" s="120"/>
      <c r="D21" s="14" t="s">
        <v>34</v>
      </c>
      <c r="E21" s="9" t="s">
        <v>14</v>
      </c>
      <c r="F21" s="17"/>
      <c r="G21" s="28"/>
      <c r="H21" s="33" t="s">
        <v>100</v>
      </c>
      <c r="I21" s="31">
        <v>42961</v>
      </c>
      <c r="J21" s="31">
        <v>42961</v>
      </c>
      <c r="K21" s="32">
        <f>IF(OR(I21="",J21=""),"",NETWORKDAYS(I21,J21))</f>
        <v>1</v>
      </c>
      <c r="L21" s="31"/>
      <c r="M21" s="31"/>
      <c r="N21" s="17"/>
      <c r="O21" s="41"/>
      <c r="P21" s="42"/>
    </row>
    <row r="22" spans="1:16" s="3" customFormat="1" ht="13.5">
      <c r="A22" s="104"/>
      <c r="B22" s="110"/>
      <c r="C22" s="119" t="s">
        <v>35</v>
      </c>
      <c r="D22" s="14" t="s">
        <v>36</v>
      </c>
      <c r="E22" s="9" t="s">
        <v>14</v>
      </c>
      <c r="F22" s="17"/>
      <c r="G22" s="28"/>
      <c r="H22" s="33" t="s">
        <v>100</v>
      </c>
      <c r="I22" s="31">
        <v>42961</v>
      </c>
      <c r="J22" s="31">
        <v>42961</v>
      </c>
      <c r="K22" s="32">
        <f>IF(OR(I22="",J22=""),"",NETWORKDAYS(I22,J22))</f>
        <v>1</v>
      </c>
      <c r="L22" s="31"/>
      <c r="M22" s="31"/>
      <c r="N22" s="17"/>
      <c r="O22" s="41"/>
      <c r="P22" s="42"/>
    </row>
    <row r="23" spans="1:16" s="3" customFormat="1" ht="13.5">
      <c r="A23" s="104"/>
      <c r="B23" s="110"/>
      <c r="C23" s="122"/>
      <c r="D23" s="14" t="s">
        <v>37</v>
      </c>
      <c r="E23" s="9" t="s">
        <v>14</v>
      </c>
      <c r="F23" s="17"/>
      <c r="G23" s="28"/>
      <c r="H23" s="33" t="s">
        <v>100</v>
      </c>
      <c r="I23" s="31">
        <v>42961</v>
      </c>
      <c r="J23" s="31">
        <v>42961</v>
      </c>
      <c r="K23" s="34"/>
      <c r="L23" s="17"/>
      <c r="M23" s="17"/>
      <c r="N23" s="17"/>
      <c r="O23" s="41"/>
      <c r="P23" s="42"/>
    </row>
    <row r="24" spans="1:16" s="3" customFormat="1" ht="13.5">
      <c r="A24" s="104"/>
      <c r="B24" s="110"/>
      <c r="C24" s="121"/>
      <c r="D24" s="14" t="s">
        <v>38</v>
      </c>
      <c r="E24" s="9" t="s">
        <v>14</v>
      </c>
      <c r="F24" s="17"/>
      <c r="G24" s="28"/>
      <c r="H24" s="33" t="s">
        <v>100</v>
      </c>
      <c r="I24" s="31">
        <v>42961</v>
      </c>
      <c r="J24" s="31">
        <v>42961</v>
      </c>
      <c r="K24" s="32">
        <f t="shared" ref="K24:K32" si="1">IF(OR(I24="",J24=""),"",NETWORKDAYS(I24,J24))</f>
        <v>1</v>
      </c>
      <c r="L24" s="31"/>
      <c r="M24" s="31"/>
      <c r="N24" s="17"/>
      <c r="O24" s="41"/>
      <c r="P24" s="42"/>
    </row>
    <row r="25" spans="1:16" s="3" customFormat="1" ht="13.5">
      <c r="A25" s="104"/>
      <c r="B25" s="110"/>
      <c r="C25" s="119" t="s">
        <v>39</v>
      </c>
      <c r="D25" s="14" t="s">
        <v>40</v>
      </c>
      <c r="E25" s="9" t="s">
        <v>14</v>
      </c>
      <c r="F25" s="17"/>
      <c r="G25" s="28"/>
      <c r="H25" s="33" t="s">
        <v>100</v>
      </c>
      <c r="I25" s="31">
        <v>42962</v>
      </c>
      <c r="J25" s="31">
        <v>42962</v>
      </c>
      <c r="K25" s="32">
        <f t="shared" si="1"/>
        <v>1</v>
      </c>
      <c r="L25" s="31"/>
      <c r="M25" s="31"/>
      <c r="N25" s="17"/>
      <c r="O25" s="41"/>
      <c r="P25" s="42"/>
    </row>
    <row r="26" spans="1:16" s="3" customFormat="1" ht="13.5">
      <c r="A26" s="104"/>
      <c r="B26" s="110"/>
      <c r="C26" s="121"/>
      <c r="D26" s="19" t="s">
        <v>41</v>
      </c>
      <c r="E26" s="9" t="s">
        <v>14</v>
      </c>
      <c r="F26" s="17"/>
      <c r="G26" s="17"/>
      <c r="H26" s="33" t="s">
        <v>100</v>
      </c>
      <c r="I26" s="31">
        <v>42962</v>
      </c>
      <c r="J26" s="31">
        <v>42962</v>
      </c>
      <c r="K26" s="32">
        <f t="shared" si="1"/>
        <v>1</v>
      </c>
      <c r="L26" s="31"/>
      <c r="M26" s="31"/>
      <c r="N26" s="44"/>
      <c r="O26" s="39"/>
      <c r="P26" s="42"/>
    </row>
    <row r="27" spans="1:16" s="3" customFormat="1" ht="13.5">
      <c r="A27" s="104"/>
      <c r="B27" s="110"/>
      <c r="C27" s="121"/>
      <c r="D27" s="19" t="s">
        <v>42</v>
      </c>
      <c r="E27" s="9" t="s">
        <v>14</v>
      </c>
      <c r="F27" s="17"/>
      <c r="G27" s="17"/>
      <c r="H27" s="33" t="s">
        <v>100</v>
      </c>
      <c r="I27" s="31">
        <v>42962</v>
      </c>
      <c r="J27" s="31">
        <v>42962</v>
      </c>
      <c r="K27" s="32">
        <f t="shared" si="1"/>
        <v>1</v>
      </c>
      <c r="L27" s="31"/>
      <c r="M27" s="31"/>
      <c r="N27" s="38"/>
      <c r="O27" s="39"/>
      <c r="P27" s="42"/>
    </row>
    <row r="28" spans="1:16" s="3" customFormat="1" ht="13.5">
      <c r="A28" s="104"/>
      <c r="B28" s="110"/>
      <c r="C28" s="121"/>
      <c r="D28" s="19" t="s">
        <v>43</v>
      </c>
      <c r="E28" s="9" t="s">
        <v>14</v>
      </c>
      <c r="F28" s="17"/>
      <c r="G28" s="17"/>
      <c r="H28" s="33" t="s">
        <v>100</v>
      </c>
      <c r="I28" s="31">
        <v>42962</v>
      </c>
      <c r="J28" s="31">
        <v>42962</v>
      </c>
      <c r="K28" s="32">
        <f t="shared" si="1"/>
        <v>1</v>
      </c>
      <c r="L28" s="31"/>
      <c r="M28" s="31"/>
      <c r="N28" s="38"/>
      <c r="O28" s="39"/>
      <c r="P28" s="42"/>
    </row>
    <row r="29" spans="1:16" s="4" customFormat="1" ht="13.5">
      <c r="A29" s="104"/>
      <c r="B29" s="110"/>
      <c r="C29" s="121"/>
      <c r="D29" s="20" t="s">
        <v>44</v>
      </c>
      <c r="E29" s="9" t="s">
        <v>14</v>
      </c>
      <c r="F29" s="17"/>
      <c r="G29" s="17"/>
      <c r="H29" s="33" t="s">
        <v>100</v>
      </c>
      <c r="I29" s="31">
        <v>42962</v>
      </c>
      <c r="J29" s="31">
        <v>42962</v>
      </c>
      <c r="K29" s="32">
        <f t="shared" si="1"/>
        <v>1</v>
      </c>
      <c r="L29" s="31"/>
      <c r="M29" s="31"/>
      <c r="N29" s="44"/>
      <c r="O29" s="39"/>
      <c r="P29" s="45"/>
    </row>
    <row r="30" spans="1:16" s="4" customFormat="1">
      <c r="A30" s="104"/>
      <c r="B30" s="110"/>
      <c r="C30" s="121"/>
      <c r="D30" s="21" t="s">
        <v>45</v>
      </c>
      <c r="E30" s="9" t="s">
        <v>14</v>
      </c>
      <c r="F30" s="17"/>
      <c r="G30" s="17"/>
      <c r="H30" s="33" t="s">
        <v>100</v>
      </c>
      <c r="I30" s="31">
        <v>42962</v>
      </c>
      <c r="J30" s="31">
        <v>42962</v>
      </c>
      <c r="K30" s="32">
        <f t="shared" si="1"/>
        <v>1</v>
      </c>
      <c r="L30" s="31"/>
      <c r="M30" s="31"/>
      <c r="N30" s="17"/>
      <c r="O30" s="41"/>
      <c r="P30" s="45"/>
    </row>
    <row r="31" spans="1:16" s="4" customFormat="1">
      <c r="A31" s="104"/>
      <c r="B31" s="110"/>
      <c r="C31" s="121"/>
      <c r="D31" s="21" t="s">
        <v>46</v>
      </c>
      <c r="E31" s="9" t="s">
        <v>14</v>
      </c>
      <c r="F31" s="17"/>
      <c r="G31" s="17"/>
      <c r="H31" s="33" t="s">
        <v>100</v>
      </c>
      <c r="I31" s="31">
        <v>42962</v>
      </c>
      <c r="J31" s="31">
        <v>42962</v>
      </c>
      <c r="K31" s="32">
        <f t="shared" si="1"/>
        <v>1</v>
      </c>
      <c r="L31" s="31"/>
      <c r="M31" s="31"/>
      <c r="N31" s="17"/>
      <c r="O31" s="41"/>
      <c r="P31" s="45"/>
    </row>
    <row r="32" spans="1:16" s="4" customFormat="1">
      <c r="A32" s="104"/>
      <c r="B32" s="110"/>
      <c r="C32" s="121"/>
      <c r="D32" s="21" t="s">
        <v>47</v>
      </c>
      <c r="E32" s="9" t="s">
        <v>14</v>
      </c>
      <c r="F32" s="17"/>
      <c r="G32" s="17"/>
      <c r="H32" s="33" t="s">
        <v>100</v>
      </c>
      <c r="I32" s="31">
        <v>42962</v>
      </c>
      <c r="J32" s="31">
        <v>42962</v>
      </c>
      <c r="K32" s="32">
        <f t="shared" si="1"/>
        <v>1</v>
      </c>
      <c r="L32" s="31"/>
      <c r="M32" s="31"/>
      <c r="N32" s="17"/>
      <c r="O32" s="41"/>
      <c r="P32" s="45"/>
    </row>
    <row r="33" spans="1:16" s="4" customFormat="1">
      <c r="A33" s="104"/>
      <c r="B33" s="111"/>
      <c r="C33" s="22" t="s">
        <v>48</v>
      </c>
      <c r="D33" s="23" t="s">
        <v>49</v>
      </c>
      <c r="E33" s="9" t="s">
        <v>14</v>
      </c>
      <c r="F33" s="17"/>
      <c r="G33" s="17"/>
      <c r="H33" s="33" t="s">
        <v>100</v>
      </c>
      <c r="I33" s="31">
        <v>42962</v>
      </c>
      <c r="J33" s="31">
        <v>42962</v>
      </c>
      <c r="K33" s="32">
        <f t="shared" ref="K33:K44" si="2">IF(OR(I33="",J33=""),"",NETWORKDAYS(I33,J33))</f>
        <v>1</v>
      </c>
      <c r="L33" s="31"/>
      <c r="M33" s="31"/>
      <c r="N33" s="17"/>
      <c r="O33" s="41"/>
      <c r="P33" s="45"/>
    </row>
    <row r="34" spans="1:16" s="4" customFormat="1" ht="16.5">
      <c r="A34" s="104"/>
      <c r="B34" s="111"/>
      <c r="C34" s="24" t="s">
        <v>57</v>
      </c>
      <c r="D34" s="14" t="s">
        <v>57</v>
      </c>
      <c r="E34" s="9" t="s">
        <v>14</v>
      </c>
      <c r="H34" s="14" t="s">
        <v>100</v>
      </c>
      <c r="I34" s="31">
        <v>42962</v>
      </c>
      <c r="J34" s="31">
        <v>42962</v>
      </c>
      <c r="K34" s="14">
        <v>1</v>
      </c>
      <c r="L34" s="35"/>
      <c r="M34" s="35"/>
      <c r="N34" s="38"/>
      <c r="O34" s="18"/>
      <c r="P34" s="45"/>
    </row>
    <row r="35" spans="1:16" s="4" customFormat="1" ht="16.5">
      <c r="A35" s="104"/>
      <c r="B35" s="111"/>
      <c r="C35" s="25" t="s">
        <v>58</v>
      </c>
      <c r="D35" s="14" t="s">
        <v>58</v>
      </c>
      <c r="E35" s="9" t="s">
        <v>14</v>
      </c>
      <c r="H35" s="14" t="s">
        <v>100</v>
      </c>
      <c r="I35" s="31">
        <v>42962</v>
      </c>
      <c r="J35" s="31">
        <v>42962</v>
      </c>
      <c r="K35" s="14">
        <v>1</v>
      </c>
      <c r="L35" s="35"/>
      <c r="M35" s="35"/>
      <c r="N35" s="38"/>
      <c r="O35" s="18"/>
      <c r="P35" s="45"/>
    </row>
    <row r="36" spans="1:16" s="4" customFormat="1" ht="16.5">
      <c r="A36" s="104"/>
      <c r="B36" s="111"/>
      <c r="C36" s="25" t="s">
        <v>59</v>
      </c>
      <c r="D36" s="14" t="s">
        <v>59</v>
      </c>
      <c r="E36" s="9" t="s">
        <v>14</v>
      </c>
      <c r="H36" s="14" t="s">
        <v>100</v>
      </c>
      <c r="I36" s="31">
        <v>42962</v>
      </c>
      <c r="J36" s="31">
        <v>42962</v>
      </c>
      <c r="K36" s="14">
        <v>1</v>
      </c>
      <c r="L36" s="35"/>
      <c r="M36" s="35"/>
      <c r="N36" s="38"/>
      <c r="O36" s="18"/>
      <c r="P36" s="45"/>
    </row>
    <row r="37" spans="1:16" s="4" customFormat="1" ht="16.5">
      <c r="A37" s="104"/>
      <c r="B37" s="111"/>
      <c r="C37" s="25" t="s">
        <v>60</v>
      </c>
      <c r="D37" s="14" t="s">
        <v>60</v>
      </c>
      <c r="E37" s="9" t="s">
        <v>14</v>
      </c>
      <c r="H37" s="14" t="s">
        <v>100</v>
      </c>
      <c r="I37" s="31">
        <v>42962</v>
      </c>
      <c r="J37" s="31">
        <v>42962</v>
      </c>
      <c r="K37" s="14">
        <v>1</v>
      </c>
      <c r="L37" s="35"/>
      <c r="M37" s="35"/>
      <c r="N37" s="38"/>
      <c r="O37" s="18"/>
      <c r="P37" s="45"/>
    </row>
    <row r="38" spans="1:16" s="4" customFormat="1" ht="16.5">
      <c r="A38" s="104"/>
      <c r="B38" s="111"/>
      <c r="C38" s="25" t="s">
        <v>61</v>
      </c>
      <c r="D38" s="14" t="s">
        <v>61</v>
      </c>
      <c r="E38" s="9" t="s">
        <v>14</v>
      </c>
      <c r="H38" s="14" t="s">
        <v>100</v>
      </c>
      <c r="I38" s="31">
        <v>42962</v>
      </c>
      <c r="J38" s="31">
        <v>42962</v>
      </c>
      <c r="K38" s="14">
        <v>1</v>
      </c>
      <c r="L38" s="35"/>
      <c r="M38" s="35"/>
      <c r="N38" s="38"/>
      <c r="O38" s="18"/>
      <c r="P38" s="45"/>
    </row>
    <row r="39" spans="1:16" s="4" customFormat="1">
      <c r="A39" s="104"/>
      <c r="B39" s="110"/>
      <c r="C39" s="117" t="s">
        <v>50</v>
      </c>
      <c r="D39" s="21" t="s">
        <v>51</v>
      </c>
      <c r="E39" s="9" t="s">
        <v>14</v>
      </c>
      <c r="F39" s="17"/>
      <c r="G39" s="17"/>
      <c r="H39" s="33" t="s">
        <v>100</v>
      </c>
      <c r="I39" s="31">
        <v>42963</v>
      </c>
      <c r="J39" s="31">
        <v>42963</v>
      </c>
      <c r="K39" s="32">
        <f t="shared" si="2"/>
        <v>1</v>
      </c>
      <c r="L39" s="31"/>
      <c r="M39" s="31"/>
      <c r="N39" s="38"/>
      <c r="O39" s="41"/>
      <c r="P39" s="45"/>
    </row>
    <row r="40" spans="1:16" s="4" customFormat="1">
      <c r="A40" s="104"/>
      <c r="B40" s="110"/>
      <c r="C40" s="117"/>
      <c r="D40" s="21" t="s">
        <v>52</v>
      </c>
      <c r="E40" s="9" t="s">
        <v>14</v>
      </c>
      <c r="F40" s="17"/>
      <c r="G40" s="17"/>
      <c r="H40" s="33" t="s">
        <v>100</v>
      </c>
      <c r="I40" s="31">
        <v>42963</v>
      </c>
      <c r="J40" s="31">
        <v>42963</v>
      </c>
      <c r="K40" s="32">
        <f t="shared" si="2"/>
        <v>1</v>
      </c>
      <c r="L40" s="31"/>
      <c r="M40" s="31"/>
      <c r="N40" s="17"/>
      <c r="O40" s="41"/>
      <c r="P40" s="45"/>
    </row>
    <row r="41" spans="1:16" s="4" customFormat="1">
      <c r="A41" s="104"/>
      <c r="B41" s="110"/>
      <c r="C41" s="117"/>
      <c r="D41" s="21" t="s">
        <v>53</v>
      </c>
      <c r="E41" s="9" t="s">
        <v>14</v>
      </c>
      <c r="F41" s="17"/>
      <c r="G41" s="17"/>
      <c r="H41" s="33" t="s">
        <v>100</v>
      </c>
      <c r="I41" s="31">
        <v>42963</v>
      </c>
      <c r="J41" s="31">
        <v>42963</v>
      </c>
      <c r="K41" s="32">
        <f t="shared" si="2"/>
        <v>1</v>
      </c>
      <c r="L41" s="31"/>
      <c r="M41" s="31"/>
      <c r="N41" s="17"/>
      <c r="O41" s="41"/>
      <c r="P41" s="45"/>
    </row>
    <row r="42" spans="1:16" s="4" customFormat="1" ht="13.5">
      <c r="A42" s="104"/>
      <c r="B42" s="110"/>
      <c r="C42" s="117"/>
      <c r="D42" s="20" t="s">
        <v>54</v>
      </c>
      <c r="E42" s="9" t="s">
        <v>14</v>
      </c>
      <c r="F42" s="17"/>
      <c r="G42" s="17"/>
      <c r="H42" s="33" t="s">
        <v>100</v>
      </c>
      <c r="I42" s="31">
        <v>42963</v>
      </c>
      <c r="J42" s="31">
        <v>42963</v>
      </c>
      <c r="K42" s="32">
        <f t="shared" si="2"/>
        <v>1</v>
      </c>
      <c r="L42" s="31"/>
      <c r="M42" s="31"/>
      <c r="N42" s="38"/>
      <c r="O42" s="41"/>
      <c r="P42" s="45"/>
    </row>
    <row r="43" spans="1:16" s="4" customFormat="1" ht="13.5">
      <c r="A43" s="104"/>
      <c r="B43" s="110"/>
      <c r="C43" s="117"/>
      <c r="D43" s="20" t="s">
        <v>55</v>
      </c>
      <c r="E43" s="9" t="s">
        <v>14</v>
      </c>
      <c r="F43" s="17"/>
      <c r="G43" s="17"/>
      <c r="H43" s="33" t="s">
        <v>100</v>
      </c>
      <c r="I43" s="31">
        <v>42963</v>
      </c>
      <c r="J43" s="31">
        <v>42963</v>
      </c>
      <c r="K43" s="32">
        <f t="shared" si="2"/>
        <v>1</v>
      </c>
      <c r="L43" s="31"/>
      <c r="M43" s="31"/>
      <c r="N43" s="38"/>
      <c r="O43" s="41"/>
      <c r="P43" s="45"/>
    </row>
    <row r="44" spans="1:16" s="4" customFormat="1" ht="13.5">
      <c r="A44" s="104"/>
      <c r="B44" s="110"/>
      <c r="C44" s="118"/>
      <c r="D44" s="20" t="s">
        <v>56</v>
      </c>
      <c r="E44" s="9" t="s">
        <v>14</v>
      </c>
      <c r="F44" s="17"/>
      <c r="G44" s="17"/>
      <c r="H44" s="33" t="s">
        <v>100</v>
      </c>
      <c r="I44" s="31">
        <v>42963</v>
      </c>
      <c r="J44" s="31">
        <v>42963</v>
      </c>
      <c r="K44" s="32">
        <f t="shared" si="2"/>
        <v>1</v>
      </c>
      <c r="L44" s="31"/>
      <c r="M44" s="31"/>
      <c r="N44" s="38"/>
      <c r="O44" s="41"/>
      <c r="P44" s="45"/>
    </row>
    <row r="45" spans="1:16" s="4" customFormat="1" ht="13.5" customHeight="1">
      <c r="A45" s="104"/>
      <c r="B45" s="112" t="s">
        <v>105</v>
      </c>
      <c r="C45" s="123" t="s">
        <v>62</v>
      </c>
      <c r="D45" s="4" t="s">
        <v>63</v>
      </c>
      <c r="E45" s="9" t="s">
        <v>14</v>
      </c>
      <c r="F45" s="17"/>
      <c r="G45" s="17"/>
      <c r="H45" s="33" t="s">
        <v>99</v>
      </c>
      <c r="I45" s="50">
        <v>42961</v>
      </c>
      <c r="J45" s="50">
        <v>42961</v>
      </c>
      <c r="K45" s="32">
        <f t="shared" ref="K45:K60" si="3">IF(OR(I45="",J45=""),"",NETWORKDAYS(I45,J45))</f>
        <v>1</v>
      </c>
      <c r="L45" s="50"/>
      <c r="M45" s="50"/>
      <c r="N45" s="38"/>
      <c r="O45" s="39"/>
      <c r="P45" s="45"/>
    </row>
    <row r="46" spans="1:16" s="4" customFormat="1" ht="13.5">
      <c r="A46" s="104"/>
      <c r="B46" s="112"/>
      <c r="C46" s="124"/>
      <c r="D46" s="46" t="s">
        <v>64</v>
      </c>
      <c r="E46" s="9" t="s">
        <v>14</v>
      </c>
      <c r="F46" s="17"/>
      <c r="G46" s="17"/>
      <c r="H46" s="33" t="s">
        <v>99</v>
      </c>
      <c r="I46" s="50">
        <v>42961</v>
      </c>
      <c r="J46" s="50">
        <v>42961</v>
      </c>
      <c r="K46" s="32">
        <f t="shared" si="3"/>
        <v>1</v>
      </c>
      <c r="L46" s="31"/>
      <c r="M46" s="31"/>
      <c r="N46" s="44"/>
      <c r="O46" s="39"/>
      <c r="P46" s="45"/>
    </row>
    <row r="47" spans="1:16" s="4" customFormat="1" ht="27">
      <c r="A47" s="104"/>
      <c r="B47" s="112"/>
      <c r="C47" s="125"/>
      <c r="D47" s="46" t="s">
        <v>65</v>
      </c>
      <c r="E47" s="9" t="s">
        <v>14</v>
      </c>
      <c r="F47" s="17"/>
      <c r="G47" s="17"/>
      <c r="H47" s="33" t="s">
        <v>99</v>
      </c>
      <c r="I47" s="50">
        <v>42961</v>
      </c>
      <c r="J47" s="50">
        <v>42961</v>
      </c>
      <c r="K47" s="32">
        <f t="shared" si="3"/>
        <v>1</v>
      </c>
      <c r="L47" s="31"/>
      <c r="M47" s="31"/>
      <c r="N47" s="44"/>
      <c r="O47" s="39"/>
      <c r="P47" s="45"/>
    </row>
    <row r="48" spans="1:16" s="4" customFormat="1" ht="13.5">
      <c r="A48" s="104"/>
      <c r="B48" s="112"/>
      <c r="C48" s="126" t="s">
        <v>66</v>
      </c>
      <c r="D48" s="46" t="s">
        <v>67</v>
      </c>
      <c r="E48" s="9" t="s">
        <v>14</v>
      </c>
      <c r="F48" s="17"/>
      <c r="G48" s="17"/>
      <c r="H48" s="33" t="s">
        <v>99</v>
      </c>
      <c r="I48" s="50">
        <v>42961</v>
      </c>
      <c r="J48" s="50">
        <v>42961</v>
      </c>
      <c r="K48" s="32">
        <f t="shared" si="3"/>
        <v>1</v>
      </c>
      <c r="L48" s="31"/>
      <c r="M48" s="51"/>
      <c r="N48" s="17"/>
      <c r="O48" s="41"/>
      <c r="P48" s="42"/>
    </row>
    <row r="49" spans="1:16" s="4" customFormat="1" ht="27">
      <c r="A49" s="104"/>
      <c r="B49" s="112"/>
      <c r="C49" s="127"/>
      <c r="D49" s="46" t="s">
        <v>68</v>
      </c>
      <c r="E49" s="9" t="s">
        <v>14</v>
      </c>
      <c r="F49" s="17"/>
      <c r="G49" s="17"/>
      <c r="H49" s="33" t="s">
        <v>99</v>
      </c>
      <c r="I49" s="50">
        <v>42961</v>
      </c>
      <c r="J49" s="50">
        <v>42961</v>
      </c>
      <c r="K49" s="32">
        <f t="shared" si="3"/>
        <v>1</v>
      </c>
      <c r="L49" s="31"/>
      <c r="M49" s="31"/>
      <c r="N49" s="44"/>
      <c r="O49" s="39"/>
      <c r="P49" s="45"/>
    </row>
    <row r="50" spans="1:16" s="4" customFormat="1" ht="27">
      <c r="A50" s="104"/>
      <c r="B50" s="112"/>
      <c r="C50" s="128"/>
      <c r="D50" s="46" t="s">
        <v>69</v>
      </c>
      <c r="E50" s="9" t="s">
        <v>14</v>
      </c>
      <c r="F50" s="17"/>
      <c r="G50" s="17"/>
      <c r="H50" s="33" t="s">
        <v>99</v>
      </c>
      <c r="I50" s="50">
        <v>42962</v>
      </c>
      <c r="J50" s="50">
        <v>42962</v>
      </c>
      <c r="K50" s="32">
        <f t="shared" si="3"/>
        <v>1</v>
      </c>
      <c r="L50" s="31"/>
      <c r="M50" s="31"/>
      <c r="N50" s="44"/>
      <c r="O50" s="39"/>
      <c r="P50" s="45"/>
    </row>
    <row r="51" spans="1:16" s="4" customFormat="1" ht="27">
      <c r="A51" s="104"/>
      <c r="B51" s="112"/>
      <c r="C51" s="123" t="s">
        <v>70</v>
      </c>
      <c r="D51" s="46" t="s">
        <v>71</v>
      </c>
      <c r="E51" s="9" t="s">
        <v>14</v>
      </c>
      <c r="F51" s="17"/>
      <c r="G51" s="17"/>
      <c r="H51" s="33" t="s">
        <v>99</v>
      </c>
      <c r="I51" s="50">
        <v>42962</v>
      </c>
      <c r="J51" s="50">
        <v>42962</v>
      </c>
      <c r="K51" s="32">
        <f t="shared" si="3"/>
        <v>1</v>
      </c>
      <c r="L51" s="31"/>
      <c r="M51" s="31"/>
      <c r="N51" s="17"/>
      <c r="O51" s="41"/>
      <c r="P51" s="45"/>
    </row>
    <row r="52" spans="1:16" s="4" customFormat="1" ht="27">
      <c r="A52" s="104"/>
      <c r="B52" s="112"/>
      <c r="C52" s="124"/>
      <c r="D52" s="46" t="s">
        <v>72</v>
      </c>
      <c r="E52" s="9" t="s">
        <v>14</v>
      </c>
      <c r="F52" s="17"/>
      <c r="G52" s="17"/>
      <c r="H52" s="33" t="s">
        <v>99</v>
      </c>
      <c r="I52" s="50">
        <v>42962</v>
      </c>
      <c r="J52" s="50">
        <v>42962</v>
      </c>
      <c r="K52" s="32">
        <f t="shared" si="3"/>
        <v>1</v>
      </c>
      <c r="L52" s="31"/>
      <c r="M52" s="51"/>
      <c r="N52" s="52"/>
      <c r="O52" s="41"/>
      <c r="P52" s="45"/>
    </row>
    <row r="53" spans="1:16" s="4" customFormat="1" ht="27">
      <c r="A53" s="104"/>
      <c r="B53" s="112"/>
      <c r="C53" s="124"/>
      <c r="D53" s="46" t="s">
        <v>73</v>
      </c>
      <c r="E53" s="9" t="s">
        <v>14</v>
      </c>
      <c r="F53" s="17"/>
      <c r="G53" s="17"/>
      <c r="H53" s="33" t="s">
        <v>99</v>
      </c>
      <c r="I53" s="50">
        <v>42962</v>
      </c>
      <c r="J53" s="50">
        <v>42962</v>
      </c>
      <c r="K53" s="32">
        <f t="shared" si="3"/>
        <v>1</v>
      </c>
      <c r="L53" s="31"/>
      <c r="M53" s="51"/>
      <c r="N53" s="52"/>
      <c r="O53" s="41"/>
      <c r="P53" s="45"/>
    </row>
    <row r="54" spans="1:16" s="4" customFormat="1" ht="13.5">
      <c r="A54" s="104"/>
      <c r="B54" s="112"/>
      <c r="C54" s="123" t="s">
        <v>74</v>
      </c>
      <c r="D54" s="46" t="s">
        <v>75</v>
      </c>
      <c r="E54" s="9" t="s">
        <v>14</v>
      </c>
      <c r="F54" s="17"/>
      <c r="G54" s="17"/>
      <c r="H54" s="33" t="s">
        <v>99</v>
      </c>
      <c r="I54" s="50">
        <v>42963</v>
      </c>
      <c r="J54" s="50">
        <v>42963</v>
      </c>
      <c r="K54" s="32">
        <f t="shared" si="3"/>
        <v>1</v>
      </c>
      <c r="L54" s="31"/>
      <c r="M54" s="31"/>
      <c r="N54" s="44"/>
      <c r="O54" s="39"/>
      <c r="P54" s="45"/>
    </row>
    <row r="55" spans="1:16" s="4" customFormat="1" ht="13.5">
      <c r="A55" s="104"/>
      <c r="B55" s="112"/>
      <c r="C55" s="125"/>
      <c r="D55" s="46" t="s">
        <v>76</v>
      </c>
      <c r="E55" s="9" t="s">
        <v>14</v>
      </c>
      <c r="F55" s="17"/>
      <c r="G55" s="17"/>
      <c r="H55" s="33" t="s">
        <v>99</v>
      </c>
      <c r="I55" s="50">
        <v>42963</v>
      </c>
      <c r="J55" s="50">
        <v>42963</v>
      </c>
      <c r="K55" s="32">
        <f t="shared" si="3"/>
        <v>1</v>
      </c>
      <c r="L55" s="31"/>
      <c r="M55" s="31"/>
      <c r="N55" s="44"/>
      <c r="O55" s="39"/>
      <c r="P55" s="45"/>
    </row>
    <row r="56" spans="1:16" s="4" customFormat="1" ht="13.5">
      <c r="A56" s="104"/>
      <c r="B56" s="112"/>
      <c r="C56" s="123" t="s">
        <v>77</v>
      </c>
      <c r="D56" s="46" t="s">
        <v>78</v>
      </c>
      <c r="E56" s="9" t="s">
        <v>14</v>
      </c>
      <c r="F56" s="17"/>
      <c r="G56" s="17"/>
      <c r="H56" s="33" t="s">
        <v>99</v>
      </c>
      <c r="I56" s="50">
        <v>42963</v>
      </c>
      <c r="J56" s="50">
        <v>42963</v>
      </c>
      <c r="K56" s="32">
        <f t="shared" si="3"/>
        <v>1</v>
      </c>
      <c r="L56" s="31"/>
      <c r="M56" s="31"/>
      <c r="N56" s="17"/>
      <c r="O56" s="17"/>
      <c r="P56" s="45"/>
    </row>
    <row r="57" spans="1:16" s="4" customFormat="1" ht="13.5">
      <c r="A57" s="104"/>
      <c r="B57" s="112"/>
      <c r="C57" s="124"/>
      <c r="D57" s="46" t="s">
        <v>79</v>
      </c>
      <c r="E57" s="9" t="s">
        <v>14</v>
      </c>
      <c r="F57" s="17"/>
      <c r="G57" s="17"/>
      <c r="H57" s="33" t="s">
        <v>99</v>
      </c>
      <c r="I57" s="50">
        <v>42963</v>
      </c>
      <c r="J57" s="50">
        <v>42963</v>
      </c>
      <c r="K57" s="32">
        <f t="shared" si="3"/>
        <v>1</v>
      </c>
      <c r="L57" s="31"/>
      <c r="M57" s="31"/>
      <c r="N57" s="17"/>
      <c r="O57" s="17"/>
      <c r="P57" s="45"/>
    </row>
    <row r="58" spans="1:16" s="4" customFormat="1" ht="13.5">
      <c r="A58" s="104"/>
      <c r="B58" s="112"/>
      <c r="C58" s="125"/>
      <c r="D58" s="46" t="s">
        <v>80</v>
      </c>
      <c r="E58" s="9" t="s">
        <v>14</v>
      </c>
      <c r="F58" s="17"/>
      <c r="G58" s="17"/>
      <c r="H58" s="33" t="s">
        <v>99</v>
      </c>
      <c r="I58" s="50">
        <v>42963</v>
      </c>
      <c r="J58" s="50">
        <v>42963</v>
      </c>
      <c r="K58" s="32">
        <f t="shared" si="3"/>
        <v>1</v>
      </c>
      <c r="L58" s="31"/>
      <c r="M58" s="31"/>
      <c r="N58" s="17"/>
      <c r="O58" s="17"/>
      <c r="P58" s="45"/>
    </row>
    <row r="59" spans="1:16" s="4" customFormat="1" ht="19.5" customHeight="1">
      <c r="A59" s="105">
        <v>3</v>
      </c>
      <c r="B59" s="112" t="s">
        <v>102</v>
      </c>
      <c r="C59" s="97" t="s">
        <v>103</v>
      </c>
      <c r="D59" s="98"/>
      <c r="E59" s="47"/>
      <c r="F59" s="17"/>
      <c r="G59" s="29"/>
      <c r="H59" s="30" t="s">
        <v>107</v>
      </c>
      <c r="I59" s="50">
        <v>42964</v>
      </c>
      <c r="J59" s="50">
        <v>42978</v>
      </c>
      <c r="K59" s="32">
        <f t="shared" si="3"/>
        <v>11</v>
      </c>
      <c r="L59" s="31"/>
      <c r="M59" s="31"/>
      <c r="N59" s="17"/>
      <c r="O59" s="39"/>
      <c r="P59" s="45"/>
    </row>
    <row r="60" spans="1:16" s="4" customFormat="1" ht="19.5" customHeight="1">
      <c r="A60" s="106"/>
      <c r="B60" s="112"/>
      <c r="C60" s="97" t="s">
        <v>104</v>
      </c>
      <c r="D60" s="98"/>
      <c r="E60" s="47"/>
      <c r="F60" s="17"/>
      <c r="G60" s="29"/>
      <c r="H60" s="30" t="s">
        <v>107</v>
      </c>
      <c r="I60" s="31">
        <v>42970</v>
      </c>
      <c r="J60" s="31">
        <v>42978</v>
      </c>
      <c r="K60" s="32">
        <f t="shared" si="3"/>
        <v>7</v>
      </c>
      <c r="L60" s="31"/>
      <c r="M60" s="31"/>
      <c r="N60" s="17"/>
      <c r="O60" s="39"/>
      <c r="P60" s="45"/>
    </row>
    <row r="61" spans="1:16" s="4" customFormat="1" ht="27">
      <c r="A61" s="48">
        <v>4</v>
      </c>
      <c r="B61" s="49" t="s">
        <v>81</v>
      </c>
      <c r="C61" s="97" t="s">
        <v>82</v>
      </c>
      <c r="D61" s="98"/>
      <c r="E61" s="47"/>
      <c r="F61" s="17"/>
      <c r="G61" s="17"/>
      <c r="H61" s="33"/>
      <c r="I61" s="31"/>
      <c r="J61" s="31"/>
      <c r="K61" s="32"/>
      <c r="L61" s="31"/>
      <c r="M61" s="51"/>
      <c r="N61" s="44"/>
      <c r="O61" s="41"/>
      <c r="P61" s="45"/>
    </row>
    <row r="62" spans="1:16" s="4" customFormat="1" ht="27">
      <c r="A62" s="48">
        <v>5</v>
      </c>
      <c r="B62" s="49" t="s">
        <v>83</v>
      </c>
      <c r="C62" s="97" t="s">
        <v>84</v>
      </c>
      <c r="D62" s="98"/>
      <c r="E62" s="47"/>
      <c r="F62" s="17"/>
      <c r="G62" s="17"/>
      <c r="H62" s="33"/>
      <c r="I62" s="31"/>
      <c r="J62" s="31"/>
      <c r="K62" s="32"/>
      <c r="L62" s="31"/>
      <c r="M62" s="51"/>
      <c r="N62" s="44"/>
      <c r="O62" s="41"/>
      <c r="P62" s="45"/>
    </row>
  </sheetData>
  <autoFilter ref="A3:P62"/>
  <mergeCells count="33">
    <mergeCell ref="C17:C21"/>
    <mergeCell ref="C22:C24"/>
    <mergeCell ref="C25:C32"/>
    <mergeCell ref="C60:D60"/>
    <mergeCell ref="C45:C47"/>
    <mergeCell ref="C48:C50"/>
    <mergeCell ref="C51:C53"/>
    <mergeCell ref="C54:C55"/>
    <mergeCell ref="C56:C58"/>
    <mergeCell ref="C59:D59"/>
    <mergeCell ref="C61:D61"/>
    <mergeCell ref="C62:D62"/>
    <mergeCell ref="A2:A3"/>
    <mergeCell ref="A4:A5"/>
    <mergeCell ref="A6:A58"/>
    <mergeCell ref="A59:A60"/>
    <mergeCell ref="B2:B3"/>
    <mergeCell ref="B4:B5"/>
    <mergeCell ref="B6:B44"/>
    <mergeCell ref="B45:B58"/>
    <mergeCell ref="B59:B60"/>
    <mergeCell ref="C2:C3"/>
    <mergeCell ref="C7:C11"/>
    <mergeCell ref="C39:C44"/>
    <mergeCell ref="C12:C13"/>
    <mergeCell ref="C14:C15"/>
    <mergeCell ref="A1:P1"/>
    <mergeCell ref="F2:G2"/>
    <mergeCell ref="H2:P2"/>
    <mergeCell ref="C4:D4"/>
    <mergeCell ref="C5:D5"/>
    <mergeCell ref="D2:D3"/>
    <mergeCell ref="E2:E3"/>
  </mergeCells>
  <phoneticPr fontId="41" type="noConversion"/>
  <dataValidations count="1">
    <dataValidation type="list" allowBlank="1" showInputMessage="1" showErrorMessage="1" sqref="E4:E62">
      <formula1>"高,中,低"</formula1>
    </dataValidation>
  </dataValidations>
  <pageMargins left="0.69930555555555596" right="0.69930555555555596" top="0.75" bottom="0.75" header="0.3" footer="0.3"/>
  <pageSetup paperSize="9" scale="40" orientation="portrait" r:id="rId1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封面</vt:lpstr>
      <vt:lpstr>项目进度计划</vt:lpstr>
      <vt:lpstr>封面!Print_Area</vt:lpstr>
      <vt:lpstr>项目进度计划!Print_Area</vt:lpstr>
    </vt:vector>
  </TitlesOfParts>
  <Company>Asiainfo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wlm</dc:creator>
  <cp:lastModifiedBy>Sky123.Org</cp:lastModifiedBy>
  <cp:lastPrinted>2016-12-29T02:11:00Z</cp:lastPrinted>
  <dcterms:created xsi:type="dcterms:W3CDTF">2011-02-15T08:54:00Z</dcterms:created>
  <dcterms:modified xsi:type="dcterms:W3CDTF">2017-08-11T06:13:43Z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  <property fmtid="{D5CDD505-2E9C-101B-9397-08002B2CF9AE}" pid="3" name="WorkbookGuid">
    <vt:lpwstr>830f243d-8dd7-48aa-a52c-9359ab965c51</vt:lpwstr>
  </property>
</Properties>
</file>